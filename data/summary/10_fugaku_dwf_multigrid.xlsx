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77035de5ba48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発表用比較" sheetId="1" r:id="Rced676880255440a"/>
    <x:sheet xmlns:r="http://schemas.openxmlformats.org/officeDocument/2006/relationships" name="段階別検証" sheetId="2" r:id="R9e077c6fb2094c26"/>
    <x:sheet xmlns:r="http://schemas.openxmlformats.org/officeDocument/2006/relationships" name="Stage7パラメータ掃引" sheetId="3" r:id="R2df20ac542d449b2"/>
    <x:sheet xmlns:r="http://schemas.openxmlformats.org/officeDocument/2006/relationships" name="実験条件・出典" sheetId="4" r:id="Rf548b5a1835345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000"/>
    <x:numFmt numFmtId="201" formatCode="0.00x"/>
    <x:numFmt numFmtId="202" formatCode="0"/>
    <x:numFmt numFmtId="203" formatCode="0.000E+00"/>
    <x:numFmt numFmtId="204" formatCode="0.0E+0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7F6000"/>
      <x:name val="Carlito"/>
    </x:font>
    <x:font>
      <x:i/>
      <x:sz val="11"/>
      <x:color rgb="FF595959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D9EAF7"/>
      </x:patternFill>
    </x:fill>
  </x:fills>
  <x:borders count="5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D6B656"/>
      </x:left>
      <x:top style="thin">
        <x:color rgb="FFD6B656"/>
      </x:top>
      <x:bottom style="thin">
        <x:color rgb="FFD6B656"/>
      </x:bottom>
    </x:border>
    <x:border>
      <x:top style="thin">
        <x:color rgb="FFD6B656"/>
      </x:top>
      <x:bottom style="thin">
        <x:color rgb="FFD6B656"/>
      </x:bottom>
    </x:border>
    <x:border>
      <x:right style="thin">
        <x:color rgb="FFD6B656"/>
      </x:right>
      <x:top style="thin">
        <x:color rgb="FFD6B656"/>
      </x:top>
      <x:bottom style="thin">
        <x:color rgb="FFD6B656"/>
      </x:bottom>
    </x:border>
  </x:borders>
  <x:cellStyleXfs count="1">
    <x:xf numFmtId="0" fontId="0" fillId="0" borderId="0"/>
  </x:cellStyleXfs>
  <x:cellXfs count="5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 applyAlignment="1">
      <x:alignment vertical="center"/>
    </x:xf>
    <x:xf numFmtId="200" fontId="0" fillId="4" borderId="1" xfId="0" applyNumberFormat="1" applyFont="1" applyFill="1" applyBorder="1" applyAlignment="1">
      <x:alignment vertical="center"/>
    </x:xf>
    <x:xf numFmtId="201" fontId="0" fillId="4" borderId="1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 applyAlignment="1">
      <x:alignment vertical="center"/>
    </x:xf>
    <x:xf numFmtId="200" fontId="0" fillId="5" borderId="1" xfId="0" applyNumberFormat="1" applyFont="1" applyFill="1" applyBorder="1" applyAlignment="1">
      <x:alignment vertical="center"/>
    </x:xf>
    <x:xf numFmtId="201" fontId="0" fillId="5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2" xfId="0" applyNumberFormat="1" applyFont="1" applyFill="1" applyBorder="1"/>
    <x:xf numFmtId="0" fontId="3" fillId="6" borderId="3" xfId="0" applyNumberFormat="1" applyFont="1" applyFill="1" applyBorder="1"/>
    <x:xf numFmtId="0" fontId="3" fillId="6" borderId="4" xfId="0" applyNumberFormat="1" applyFont="1" applyFill="1" applyBorder="1"/>
    <x:xf numFmtId="0" fontId="3" fillId="6" borderId="2" xfId="0" applyNumberFormat="1" applyFont="1" applyFill="1" applyBorder="1" applyAlignment="1">
      <x:alignment wrapText="1"/>
    </x:xf>
    <x:xf numFmtId="0" fontId="3" fillId="6" borderId="3" xfId="0" applyNumberFormat="1" applyFont="1" applyFill="1" applyBorder="1" applyAlignment="1">
      <x:alignment wrapText="1"/>
    </x:xf>
    <x:xf numFmtId="0" fontId="3" fillId="6" borderId="4" xfId="0" applyNumberFormat="1" applyFont="1" applyFill="1" applyBorder="1" applyAlignment="1">
      <x:alignment wrapText="1"/>
    </x:xf>
    <x:xf numFmtId="0" fontId="3" fillId="6" borderId="2" xfId="0" applyNumberFormat="1" applyFont="1" applyFill="1" applyBorder="1" applyAlignment="1">
      <x:alignment vertical="center" wrapText="1"/>
    </x:xf>
    <x:xf numFmtId="0" fontId="3" fillId="6" borderId="3" xfId="0" applyNumberFormat="1" applyFont="1" applyFill="1" applyBorder="1" applyAlignment="1">
      <x:alignment vertical="center" wrapText="1"/>
    </x:xf>
    <x:xf numFmtId="0" fontId="3" fillId="6" borderId="4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202" fontId="0" fillId="4" borderId="1" xfId="0" applyNumberFormat="1" applyFont="1" applyFill="1" applyBorder="1" applyAlignment="1">
      <x:alignment vertical="center"/>
    </x:xf>
    <x:xf numFmtId="203" fontId="0" fillId="4" borderId="1" xfId="0" applyNumberFormat="1" applyFont="1" applyFill="1" applyBorder="1" applyAlignment="1">
      <x:alignment vertical="center"/>
    </x:xf>
    <x:xf numFmtId="0" fontId="0" fillId="8" borderId="1" xfId="0" applyNumberFormat="1" applyFont="1" applyFill="1" applyBorder="1" applyAlignment="1">
      <x:alignment vertical="center"/>
    </x:xf>
    <x:xf numFmtId="200" fontId="0" fillId="8" borderId="1" xfId="0" applyNumberFormat="1" applyFont="1" applyFill="1" applyBorder="1" applyAlignment="1">
      <x:alignment vertical="center"/>
    </x:xf>
    <x:xf numFmtId="202" fontId="0" fillId="8" borderId="1" xfId="0" applyNumberFormat="1" applyFont="1" applyFill="1" applyBorder="1" applyAlignment="1">
      <x:alignment vertical="center"/>
    </x:xf>
    <x:xf numFmtId="203" fontId="0" fillId="8" borderId="1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4" fontId="0" fillId="0" borderId="1" xfId="0" applyNumberFormat="1" applyFont="1" applyFill="1" applyBorder="1" applyAlignment="1">
      <x:alignment vertical="center"/>
    </x:xf>
    <x:xf numFmtId="204" fontId="0" fillId="4" borderId="1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1" xfId="0" applyNumberFormat="1" applyFont="1" applyFill="1" applyBorder="1" applyAlignment="1">
      <x:alignment vertical="center"/>
    </x:xf>
    <x:xf numFmtId="0" fontId="0" fillId="8" borderId="1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076c373bb44b94" /><Relationship Type="http://schemas.openxmlformats.org/officeDocument/2006/relationships/theme" Target="/xl/theme/theme1.xml" Id="Rca83aab5b1fe41b0" /><Relationship Type="http://schemas.microsoft.com/office/2022/11/relationships/FeaturePropertyBag" Target="/xl/featurePropertyBag/featurePropertyBag.xml" Id="R0ce796c0aa3746dd" /><Relationship Type="http://schemas.openxmlformats.org/officeDocument/2006/relationships/sharedStrings" Target="/xl/sharedStrings.xml" Id="R547afd0e6a784f2b" /><Relationship Type="http://schemas.openxmlformats.org/officeDocument/2006/relationships/worksheet" Target="/xl/worksheets/sheet1.xml" Id="Rced676880255440a" /><Relationship Type="http://schemas.openxmlformats.org/officeDocument/2006/relationships/worksheet" Target="/xl/worksheets/sheet2.xml" Id="R9e077c6fb2094c26" /><Relationship Type="http://schemas.openxmlformats.org/officeDocument/2006/relationships/worksheet" Target="/xl/worksheets/sheet3.xml" Id="R2df20ac542d449b2" /><Relationship Type="http://schemas.openxmlformats.org/officeDocument/2006/relationships/worksheet" Target="/xl/worksheets/sheet4.xml" Id="Rf548b5a1835345a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88c44baff0b4a0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Solve時間比較（小さいほど高速）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Solve時間 [秒]</c:v>
          </c:tx>
          <c:cat>
            <c:strRef>
              <c:f>'発表用比較'!$J$3:$J$6</c:f>
              <c:strCache>
                <c:ptCount val="0"/>
              </c:strCache>
            </c:strRef>
          </c:cat>
          <c:val>
            <c:numRef>
              <c:f>'発表用比較'!$K$3:$K$6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7</xdr:row>
      <xdr:rowOff>0</xdr:rowOff>
    </xdr:from>
    <xdr:to>
      <xdr:col>17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88c44baff0b4a0e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c65165749a143b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3" hidden="0" customWidth="1"/>
    <x:col min="8" max="8" width="42" hidden="0" customWidth="1"/>
  </x:cols>
  <x:sheetData>
    <x:row r="1" ht="30" customHeight="1">
      <x:c r="A1" s="4" t="str">
        <x:v>DWF Multigrid 性能比較（最終比較）</x:v>
      </x:c>
      <x:c r="B1" s="4" t="str">
        <x:v>DWF Multigrid 性能比較（最終比較）</x:v>
      </x:c>
      <x:c r="C1" s="4" t="str">
        <x:v>DWF Multigrid 性能比較（最終比較）</x:v>
      </x:c>
      <x:c r="D1" s="4" t="str">
        <x:v>DWF Multigrid 性能比較（最終比較）</x:v>
      </x:c>
      <x:c r="E1" s="4" t="str">
        <x:v>DWF Multigrid 性能比較（最終比較）</x:v>
      </x:c>
      <x:c r="F1" s="4" t="str">
        <x:v>DWF Multigrid 性能比較（最終比較）</x:v>
      </x:c>
      <x:c r="G1" s="4" t="str">
        <x:v>DWF Multigrid 性能比較（最終比較）</x:v>
      </x:c>
      <x:c r="H1" s="4" t="str">
        <x:v>DWF Multigrid 性能比較（最終比較）</x:v>
      </x:c>
    </x:row>
    <x:row r="2">
      <x:c r="J2" t="str">
        <x:v>方法</x:v>
      </x:c>
      <x:c r="K2" t="str">
        <x:v>Solve時間 [秒]</x:v>
      </x:c>
    </x:row>
    <x:row r="3" ht="25" customHeight="1">
      <x:c r="A3" s="10" t="str">
        <x:v>方法</x:v>
      </x:c>
      <x:c r="B3" s="10" t="str">
        <x:v>Setup時間 [秒]</x:v>
      </x:c>
      <x:c r="C3" s="10" t="str">
        <x:v>Solve時間 [秒]</x:v>
      </x:c>
      <x:c r="D3" s="10" t="str">
        <x:v>合計時間 [秒]</x:v>
      </x:c>
      <x:c r="E3" s="10" t="str">
        <x:v>SolveのMGなしCG比</x:v>
      </x:c>
      <x:c r="F3" s="10" t="str">
        <x:v>Setup込み比</x:v>
      </x:c>
      <x:c r="G3" s="10" t="str">
        <x:v>反復回数</x:v>
      </x:c>
      <x:c r="H3" s="10" t="str">
        <x:v>データ状態</x:v>
      </x:c>
      <x:c r="J3" t="str">
        <x:f>A4</x:f>
        <x:v>MGなしCG</x:v>
      </x:c>
      <x:c r="K3" t="n">
        <x:f>C4</x:f>
        <x:v>0.189338</x:v>
      </x:c>
    </x:row>
    <x:row r="4" ht="25" customHeight="1">
      <x:c r="A4" s="15" t="str">
        <x:v>MGなしCG</x:v>
      </x:c>
      <x:c r="B4" s="16" t="n">
        <x:v>0</x:v>
      </x:c>
      <x:c r="C4" s="16" t="n">
        <x:v>0.189338</x:v>
      </x:c>
      <x:c r="D4" s="16" t="n">
        <x:f>B4+C4</x:f>
        <x:v>0.189338</x:v>
      </x:c>
      <x:c r="E4" s="17" t="n">
        <x:f>C4/$C$4</x:f>
        <x:v>1</x:v>
      </x:c>
      <x:c r="F4" s="17" t="n">
        <x:f>D4/$C$4</x:f>
        <x:v>1</x:v>
      </x:c>
      <x:c r="G4" s="15"/>
      <x:c r="H4" s="15" t="str">
        <x:v>会話記録から復元（反復数の原ログなし）</x:v>
      </x:c>
      <x:c r="J4" t="str">
        <x:f>A5</x:f>
        <x:v>MG・DENSE</x:v>
      </x:c>
      <x:c r="K4" t="n">
        <x:f>C5</x:f>
        <x:v>4.133065</x:v>
      </x:c>
    </x:row>
    <x:row r="5" ht="25" customHeight="1">
      <x:c r="A5" s="18" t="str">
        <x:v>MG・DENSE</x:v>
      </x:c>
      <x:c r="B5" s="19" t="n">
        <x:v>246.22</x:v>
      </x:c>
      <x:c r="C5" s="19" t="n">
        <x:v>4.133065</x:v>
      </x:c>
      <x:c r="D5" s="19" t="n">
        <x:f>B5+C5</x:f>
        <x:v>250.353065</x:v>
      </x:c>
      <x:c r="E5" s="20" t="n">
        <x:f>C5/$C$4</x:f>
        <x:v>21.82903062248466</x:v>
      </x:c>
      <x:c r="F5" s="20" t="n">
        <x:f>D5/$C$4</x:f>
        <x:v>1322.2547243553854</x:v>
      </x:c>
      <x:c r="G5" s="18"/>
      <x:c r="H5" s="18" t="str">
        <x:v>会話記録から復元（反復数の原ログなし）</x:v>
      </x:c>
      <x:c r="J5" t="str">
        <x:f>A6</x:f>
        <x:v>MG・BLOCK SPARSE</x:v>
      </x:c>
      <x:c r="K5" t="n">
        <x:f>C6</x:f>
        <x:v>2.797558</x:v>
      </x:c>
    </x:row>
    <x:row r="6" ht="25" customHeight="1">
      <x:c r="A6" s="18" t="str">
        <x:v>MG・BLOCK SPARSE</x:v>
      </x:c>
      <x:c r="B6" s="19" t="n">
        <x:v>246.22</x:v>
      </x:c>
      <x:c r="C6" s="19" t="n">
        <x:v>2.797558</x:v>
      </x:c>
      <x:c r="D6" s="19" t="n">
        <x:f>B6+C6</x:f>
        <x:v>249.017558</x:v>
      </x:c>
      <x:c r="E6" s="20" t="n">
        <x:f>C6/$C$4</x:f>
        <x:v>14.775470322914575</x:v>
      </x:c>
      <x:c r="F6" s="20" t="n">
        <x:f>D6/$C$4</x:f>
        <x:v>1315.2011640558155</x:v>
      </x:c>
      <x:c r="G6" s="18"/>
      <x:c r="H6" s="18" t="str">
        <x:v>DENSE Setupから変換。変換時間は記録なし</x:v>
      </x:c>
      <x:c r="J6" t="str">
        <x:f>A7</x:f>
        <x:v>MG・直接構築</x:v>
      </x:c>
      <x:c r="K6" t="n">
        <x:f>C7</x:f>
        <x:v>3.620884</x:v>
      </x:c>
    </x:row>
    <x:row r="7" ht="25" customHeight="1">
      <x:c r="A7" s="18" t="str">
        <x:v>MG・直接構築</x:v>
      </x:c>
      <x:c r="B7" s="19" t="n">
        <x:v>257.267</x:v>
      </x:c>
      <x:c r="C7" s="19" t="n">
        <x:v>3.620884</x:v>
      </x:c>
      <x:c r="D7" s="19" t="n">
        <x:f>B7+C7</x:f>
        <x:v>260.887884</x:v>
      </x:c>
      <x:c r="E7" s="20" t="n">
        <x:f>C7/$C$4</x:f>
        <x:v>19.123915959817893</x:v>
      </x:c>
      <x:c r="F7" s="20" t="n">
        <x:f>D7/$C$4</x:f>
        <x:v>1377.8950025879642</x:v>
      </x:c>
      <x:c r="G7" s="18"/>
      <x:c r="H7" s="18" t="str">
        <x:v>会話記録から復元（反復数の原ログなし）</x:v>
      </x:c>
    </x:row>
    <x:row r="9" ht="48" customHeight="1">
      <x:c r="A9" s="29" t="str">
        <x:v>結論：MGにより反復回数を削減できることは段階別検証で確認したが、最終比較では3方式すべてのSolve時間がMGなしCGより遅く、Setup時間が特に大きい。今回の条件では総実行時間の高速化には至っていない。</x:v>
      </x:c>
      <x:c r="B9" s="30"/>
      <x:c r="C9" s="30"/>
      <x:c r="D9" s="30"/>
      <x:c r="E9" s="30"/>
      <x:c r="F9" s="30"/>
      <x:c r="G9" s="30"/>
      <x:c r="H9" s="31"/>
    </x:row>
    <x:row r="11">
      <x:c r="A11" s="35" t="str">
        <x:v>注意：上表の最終比較値は本会話で提示された表から復元した。対応する生ログがローカル保存先で確認できなかったため、反復回数は空欄とし、原ログ入手後に照合する。検証済みのJob ID付き結果は「段階別検証」シートに収録した。</x:v>
      </x:c>
      <x:c r="B11" s="35"/>
      <x:c r="C11" s="35"/>
      <x:c r="D11" s="35"/>
      <x:c r="E11" s="35"/>
      <x:c r="F11" s="35"/>
      <x:c r="G11" s="35"/>
      <x:c r="H11" s="35"/>
    </x:row>
    <x:row r="12">
      <x:c r="A12" s="35"/>
      <x:c r="B12" s="35"/>
      <x:c r="C12" s="35"/>
      <x:c r="D12" s="35"/>
      <x:c r="E12" s="35"/>
      <x:c r="F12" s="35"/>
      <x:c r="G12" s="35"/>
      <x:c r="H12" s="35"/>
    </x:row>
  </x:sheetData>
  <x:mergeCells>
    <x:mergeCell ref="A1:H1"/>
    <x:mergeCell ref="A9:H9"/>
    <x:mergeCell ref="A11:H12"/>
  </x:mergeCells>
  <x:pageMargins left="0.7" right="0.7" top="0.75" bottom="0.75" header="0.3" footer="0.3"/>
  <x:drawing xmlns:r="http://schemas.openxmlformats.org/officeDocument/2006/relationships" r:id="Rdc65165749a143be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7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4" hidden="0" customWidth="1"/>
    <x:col min="9" max="9" width="14" hidden="0" customWidth="1"/>
    <x:col min="10" max="10" width="18" hidden="0" customWidth="1"/>
    <x:col min="11" max="11" width="42" hidden="0" customWidth="1"/>
  </x:cols>
  <x:sheetData>
    <x:row r="1" ht="30" customHeight="1">
      <x:c r="A1" s="4" t="str">
        <x:v>DWF Multigrid 段階別検証結果（Job ID・原記録あり）</x:v>
      </x:c>
      <x:c r="B1" s="4" t="str">
        <x:v>DWF Multigrid 段階別検証結果（Job ID・原記録あり）</x:v>
      </x:c>
      <x:c r="C1" s="4" t="str">
        <x:v>DWF Multigrid 段階別検証結果（Job ID・原記録あり）</x:v>
      </x:c>
      <x:c r="D1" s="4" t="str">
        <x:v>DWF Multigrid 段階別検証結果（Job ID・原記録あり）</x:v>
      </x:c>
      <x:c r="E1" s="4" t="str">
        <x:v>DWF Multigrid 段階別検証結果（Job ID・原記録あり）</x:v>
      </x:c>
      <x:c r="F1" s="4" t="str">
        <x:v>DWF Multigrid 段階別検証結果（Job ID・原記録あり）</x:v>
      </x:c>
      <x:c r="G1" s="4" t="str">
        <x:v>DWF Multigrid 段階別検証結果（Job ID・原記録あり）</x:v>
      </x:c>
      <x:c r="H1" s="4" t="str">
        <x:v>DWF Multigrid 段階別検証結果（Job ID・原記録あり）</x:v>
      </x:c>
      <x:c r="I1" s="4" t="str">
        <x:v>DWF Multigrid 段階別検証結果（Job ID・原記録あり）</x:v>
      </x:c>
      <x:c r="J1" s="4" t="str">
        <x:v>DWF Multigrid 段階別検証結果（Job ID・原記録あり）</x:v>
      </x:c>
      <x:c r="K1" s="4" t="str">
        <x:v>DWF Multigrid 段階別検証結果（Job ID・原記録あり）</x:v>
      </x:c>
    </x:row>
    <x:row r="3">
      <x:c r="A3" s="10" t="str">
        <x:v>段階</x:v>
      </x:c>
      <x:c r="B3" s="10" t="str">
        <x:v>方法</x:v>
      </x:c>
      <x:c r="C3" s="10" t="str">
        <x:v>格子</x:v>
      </x:c>
      <x:c r="D3" s="10" t="str">
        <x:v>Job ID</x:v>
      </x:c>
      <x:c r="E3" s="10" t="str">
        <x:v>Setup [秒]</x:v>
      </x:c>
      <x:c r="F3" s="10" t="str">
        <x:v>Solve [秒]</x:v>
      </x:c>
      <x:c r="G3" s="10" t="str">
        <x:v>合計 [秒]</x:v>
      </x:c>
      <x:c r="H3" s="10" t="str">
        <x:v>外側反復</x:v>
      </x:c>
      <x:c r="I3" s="10" t="str">
        <x:v>粗格子反復</x:v>
      </x:c>
      <x:c r="J3" s="10" t="str">
        <x:v>真の相対残差</x:v>
      </x:c>
      <x:c r="K3" s="10" t="str">
        <x:v>備考</x:v>
      </x:c>
    </x:row>
    <x:row r="4">
      <x:c r="A4" s="15" t="str">
        <x:v>Stage 6</x:v>
      </x:c>
      <x:c r="B4" s="15" t="str">
        <x:v>MGなしCG</x:v>
      </x:c>
      <x:c r="C4" s="15" t="str">
        <x:v>8×8×8×8</x:v>
      </x:c>
      <x:c r="D4" s="15" t="str">
        <x:v>50839216</x:v>
      </x:c>
      <x:c r="E4" s="16" t="n">
        <x:v>0</x:v>
      </x:c>
      <x:c r="F4" s="16" t="n">
        <x:v>0.166149</x:v>
      </x:c>
      <x:c r="G4" s="16" t="n">
        <x:f>E4+F4</x:f>
        <x:v>0.166149</x:v>
      </x:c>
      <x:c r="H4" s="38" t="n">
        <x:v>142</x:v>
      </x:c>
      <x:c r="I4" s="38"/>
      <x:c r="J4" s="39" t="n">
        <x:v>9.7334088e-9</x:v>
      </x:c>
      <x:c r="K4" s="15" t="str">
        <x:v>基準CG</x:v>
      </x:c>
    </x:row>
    <x:row r="5">
      <x:c r="A5" s="40" t="str">
        <x:v>Stage 6</x:v>
      </x:c>
      <x:c r="B5" s="40" t="str">
        <x:v>MG-FGMRES（strict）</x:v>
      </x:c>
      <x:c r="C5" s="40" t="str">
        <x:v>8×8×8×8</x:v>
      </x:c>
      <x:c r="D5" s="40" t="str">
        <x:v>50839216</x:v>
      </x:c>
      <x:c r="E5" s="41" t="n">
        <x:v>3.806274</x:v>
      </x:c>
      <x:c r="F5" s="41" t="n">
        <x:v>0.854777</x:v>
      </x:c>
      <x:c r="G5" s="41" t="n">
        <x:f>E5+F5</x:f>
        <x:v>4.6610510000000005</x:v>
      </x:c>
      <x:c r="H5" s="42" t="n">
        <x:v>33</x:v>
      </x:c>
      <x:c r="I5" s="42" t="n">
        <x:v>937</x:v>
      </x:c>
      <x:c r="J5" s="43" t="n">
        <x:v>6.5211314e-9</x:v>
      </x:c>
      <x:c r="K5" s="40" t="str">
        <x:v>反復76.76%削減、SolveはCGの約5.15倍</x:v>
      </x:c>
    </x:row>
    <x:row r="6">
      <x:c r="A6" s="40" t="str">
        <x:v>Stage 7</x:v>
      </x:c>
      <x:c r="B6" s="40" t="str">
        <x:v>MG・DENSE（最適化）</x:v>
      </x:c>
      <x:c r="C6" s="40" t="str">
        <x:v>8×8×8×8</x:v>
      </x:c>
      <x:c r="D6" s="40" t="str">
        <x:v>50840453</x:v>
      </x:c>
      <x:c r="E6" s="41" t="n">
        <x:v>3.402299</x:v>
      </x:c>
      <x:c r="F6" s="41" t="n">
        <x:v>0.752108</x:v>
      </x:c>
      <x:c r="G6" s="41" t="n">
        <x:f>E6+F6</x:f>
        <x:v>4.154407</x:v>
      </x:c>
      <x:c r="H6" s="42" t="n">
        <x:v>33</x:v>
      </x:c>
      <x:c r="I6" s="42" t="n">
        <x:v>319</x:v>
      </x:c>
      <x:c r="J6" s="43" t="n">
        <x:v>6.5697967e-9</x:v>
      </x:c>
      <x:c r="K6" s="40" t="str">
        <x:v>Stage 7で最速の有効条件</x:v>
      </x:c>
    </x:row>
    <x:row r="7">
      <x:c r="A7" s="40" t="str">
        <x:v>Stage 8</x:v>
      </x:c>
      <x:c r="B7" s="40" t="str">
        <x:v>MG・DENSE</x:v>
      </x:c>
      <x:c r="C7" s="40" t="str">
        <x:v>8×8×8×8</x:v>
      </x:c>
      <x:c r="D7" s="40" t="str">
        <x:v>50842033</x:v>
      </x:c>
      <x:c r="E7" s="41" t="n">
        <x:v>3.402299</x:v>
      </x:c>
      <x:c r="F7" s="41" t="n">
        <x:v>0.745753</x:v>
      </x:c>
      <x:c r="G7" s="41" t="n">
        <x:f>E7+F7</x:f>
        <x:v>4.148052</x:v>
      </x:c>
      <x:c r="H7" s="42" t="n">
        <x:v>33</x:v>
      </x:c>
      <x:c r="I7" s="42" t="n">
        <x:v>319</x:v>
      </x:c>
      <x:c r="J7" s="43" t="n">
        <x:v>6.5697967e-9</x:v>
      </x:c>
      <x:c r="K7" s="40" t="str">
        <x:v>密粗格子演算子</x:v>
      </x:c>
    </x:row>
    <x:row r="8">
      <x:c r="A8" s="40" t="str">
        <x:v>Stage 8</x:v>
      </x:c>
      <x:c r="B8" s="40" t="str">
        <x:v>MG・BLOCK SPARSE</x:v>
      </x:c>
      <x:c r="C8" s="40" t="str">
        <x:v>8×8×8×8</x:v>
      </x:c>
      <x:c r="D8" s="40" t="str">
        <x:v>50842033</x:v>
      </x:c>
      <x:c r="E8" s="41" t="n">
        <x:v>3.402299</x:v>
      </x:c>
      <x:c r="F8" s="41" t="n">
        <x:v>0.77562</x:v>
      </x:c>
      <x:c r="G8" s="41" t="n">
        <x:f>E8+F8</x:f>
        <x:v>4.177919</x:v>
      </x:c>
      <x:c r="H8" s="42" t="n">
        <x:v>33</x:v>
      </x:c>
      <x:c r="I8" s="42" t="n">
        <x:v>319</x:v>
      </x:c>
      <x:c r="J8" s="43" t="n">
        <x:v>6.5697967e-9</x:v>
      </x:c>
      <x:c r="K8" s="40" t="str">
        <x:v>DENSEより約4.0%遅い</x:v>
      </x:c>
    </x:row>
    <x:row r="9">
      <x:c r="A9" s="40" t="str">
        <x:v>Stage 10</x:v>
      </x:c>
      <x:c r="B9" s="40" t="str">
        <x:v>MG・直接構築</x:v>
      </x:c>
      <x:c r="C9" s="40" t="str">
        <x:v>16×8×8×8</x:v>
      </x:c>
      <x:c r="D9" s="40" t="str">
        <x:v>50872888</x:v>
      </x:c>
      <x:c r="E9" s="41" t="n">
        <x:v>14.878645</x:v>
      </x:c>
      <x:c r="F9" s="41" t="n">
        <x:v>0.396431</x:v>
      </x:c>
      <x:c r="G9" s="41" t="n">
        <x:f>E9+F9</x:f>
        <x:v>15.275076</x:v>
      </x:c>
      <x:c r="H9" s="42" t="n">
        <x:v>8</x:v>
      </x:c>
      <x:c r="I9" s="42" t="n">
        <x:v>91</x:v>
      </x:c>
      <x:c r="J9" s="43" t="n">
        <x:v>2.7030563e-9</x:v>
      </x:c>
      <x:c r="K9" s="40" t="str">
        <x:v>密参照との作用誤差6.4239e-16</x:v>
      </x:c>
    </x:row>
  </x:sheetData>
  <x:mergeCells>
    <x:mergeCell ref="A1:K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13" hidden="0" customWidth="1"/>
    <x:col min="4" max="4" width="13" hidden="0" customWidth="1"/>
    <x:col min="5" max="5" width="17" hidden="0" customWidth="1"/>
    <x:col min="6" max="6" width="17" hidden="0" customWidth="1"/>
    <x:col min="7" max="7" width="17" hidden="0" customWidth="1"/>
    <x:col min="8" max="8" width="24" hidden="0" customWidth="1"/>
  </x:cols>
  <x:sheetData>
    <x:row r="1" ht="30" customHeight="1">
      <x:c r="A1" s="4" t="str">
        <x:v>Stage 7：MGパラメータ掃引（Job 50840453）</x:v>
      </x:c>
      <x:c r="B1" s="4" t="str">
        <x:v>Stage 7：MGパラメータ掃引（Job 50840453）</x:v>
      </x:c>
      <x:c r="C1" s="4" t="str">
        <x:v>Stage 7：MGパラメータ掃引（Job 50840453）</x:v>
      </x:c>
      <x:c r="D1" s="4" t="str">
        <x:v>Stage 7：MGパラメータ掃引（Job 50840453）</x:v>
      </x:c>
      <x:c r="E1" s="4" t="str">
        <x:v>Stage 7：MGパラメータ掃引（Job 50840453）</x:v>
      </x:c>
      <x:c r="F1" s="4" t="str">
        <x:v>Stage 7：MGパラメータ掃引（Job 50840453）</x:v>
      </x:c>
      <x:c r="G1" s="4" t="str">
        <x:v>Stage 7：MGパラメータ掃引（Job 50840453）</x:v>
      </x:c>
      <x:c r="H1" s="4" t="str">
        <x:v>Stage 7：MGパラメータ掃引（Job 50840453）</x:v>
      </x:c>
      <x:c r="I1" t="str">
        <x:v>基準値</x:v>
      </x:c>
      <x:c r="J1"/>
    </x:row>
    <x:row r="2">
      <x:c r="I2" t="str">
        <x:v>MGなしCG Solve [秒]</x:v>
      </x:c>
      <x:c r="J2" t="n">
        <x:v>0.165579</x:v>
      </x:c>
    </x:row>
    <x:row r="3">
      <x:c r="A3" s="10" t="str">
        <x:v>平滑化回数</x:v>
      </x:c>
      <x:c r="B3" s="10" t="str">
        <x:v>粗格子許容誤差</x:v>
      </x:c>
      <x:c r="C3" s="10" t="str">
        <x:v>妥当</x:v>
      </x:c>
      <x:c r="D3" s="10" t="str">
        <x:v>外側反復</x:v>
      </x:c>
      <x:c r="E3" s="10" t="str">
        <x:v>MG Solve [秒]</x:v>
      </x:c>
      <x:c r="F3" s="10" t="str">
        <x:v>粗格子反復合計</x:v>
      </x:c>
      <x:c r="G3" s="10" t="str">
        <x:v>CG比</x:v>
      </x:c>
      <x:c r="H3" s="10" t="str">
        <x:v>備考</x:v>
      </x:c>
    </x:row>
    <x:row r="4">
      <x:c r="A4" s="12" t="n">
        <x:v>1</x:v>
      </x:c>
      <x:c r="B4" s="47" t="n">
        <x:v>0.01</x:v>
      </x:c>
      <x:c r="C4" s="46" t="b">
        <x:v>0</x:v>
      </x:c>
      <x:c r="D4" s="12" t="n">
        <x:v>60</x:v>
      </x:c>
      <x:c r="E4" s="13" t="n">
        <x:v>0.98682</x:v>
      </x:c>
      <x:c r="F4" s="12" t="n">
        <x:v>583</x:v>
      </x:c>
      <x:c r="G4" s="14" t="n">
        <x:f>E4/$J$2</x:f>
        <x:v>5.959813744496585</x:v>
      </x:c>
      <x:c r="H4" s="12" t="str">
        <x:v>残差条件未達</x:v>
      </x:c>
    </x:row>
    <x:row r="5">
      <x:c r="A5" s="12" t="n">
        <x:v>1</x:v>
      </x:c>
      <x:c r="B5" s="47" t="n">
        <x:v>0.0001</x:v>
      </x:c>
      <x:c r="C5" s="46" t="b">
        <x:v>0</x:v>
      </x:c>
      <x:c r="D5" s="12" t="n">
        <x:v>60</x:v>
      </x:c>
      <x:c r="E5" s="13" t="n">
        <x:v>1.029324</x:v>
      </x:c>
      <x:c r="F5" s="12" t="n">
        <x:v>892</x:v>
      </x:c>
      <x:c r="G5" s="14" t="n">
        <x:f>E5/$J$2</x:f>
        <x:v>6.216512963600456</x:v>
      </x:c>
      <x:c r="H5" s="12" t="str">
        <x:v>残差条件未達</x:v>
      </x:c>
    </x:row>
    <x:row r="6">
      <x:c r="A6" s="12" t="n">
        <x:v>1</x:v>
      </x:c>
      <x:c r="B6" s="47" t="n">
        <x:v>0.000001</x:v>
      </x:c>
      <x:c r="C6" s="46" t="b">
        <x:v>0</x:v>
      </x:c>
      <x:c r="D6" s="12" t="n">
        <x:v>60</x:v>
      </x:c>
      <x:c r="E6" s="13" t="n">
        <x:v>1.076347</x:v>
      </x:c>
      <x:c r="F6" s="12" t="n">
        <x:v>1162</x:v>
      </x:c>
      <x:c r="G6" s="14" t="n">
        <x:f>E6/$J$2</x:f>
        <x:v>6.500504291003086</x:v>
      </x:c>
      <x:c r="H6" s="12" t="str">
        <x:v>残差条件未達</x:v>
      </x:c>
    </x:row>
    <x:row r="7">
      <x:c r="A7" s="12" t="n">
        <x:v>1</x:v>
      </x:c>
      <x:c r="B7" s="47" t="n">
        <x:v>1e-10</x:v>
      </x:c>
      <x:c r="C7" s="46" t="b">
        <x:v>0</x:v>
      </x:c>
      <x:c r="D7" s="12" t="n">
        <x:v>60</x:v>
      </x:c>
      <x:c r="E7" s="13" t="n">
        <x:v>1.161811</x:v>
      </x:c>
      <x:c r="F7" s="12" t="n">
        <x:v>1720</x:v>
      </x:c>
      <x:c r="G7" s="14" t="n">
        <x:f>E7/$J$2</x:f>
        <x:v>7.016656701634869</x:v>
      </x:c>
      <x:c r="H7" s="12" t="str">
        <x:v>残差条件未達</x:v>
      </x:c>
    </x:row>
    <x:row r="8">
      <x:c r="A8" s="12" t="n">
        <x:v>2</x:v>
      </x:c>
      <x:c r="B8" s="47" t="n">
        <x:v>0.01</x:v>
      </x:c>
      <x:c r="C8" s="46" t="b">
        <x:v>1</x:v>
      </x:c>
      <x:c r="D8" s="12" t="n">
        <x:v>60</x:v>
      </x:c>
      <x:c r="E8" s="13" t="n">
        <x:v>1.122942</x:v>
      </x:c>
      <x:c r="F8" s="12" t="n">
        <x:v>585</x:v>
      </x:c>
      <x:c r="G8" s="14" t="n">
        <x:f>E8/$J$2</x:f>
        <x:v>6.7819107495515745</x:v>
      </x:c>
      <x:c r="H8" s="12" t="str">
        <x:v>残差条件達成</x:v>
      </x:c>
    </x:row>
    <x:row r="9">
      <x:c r="A9" s="12" t="n">
        <x:v>2</x:v>
      </x:c>
      <x:c r="B9" s="47" t="n">
        <x:v>0.0001</x:v>
      </x:c>
      <x:c r="C9" s="46" t="b">
        <x:v>1</x:v>
      </x:c>
      <x:c r="D9" s="12" t="n">
        <x:v>60</x:v>
      </x:c>
      <x:c r="E9" s="13" t="n">
        <x:v>1.167132</x:v>
      </x:c>
      <x:c r="F9" s="12" t="n">
        <x:v>893</x:v>
      </x:c>
      <x:c r="G9" s="14" t="n">
        <x:f>E9/$J$2</x:f>
        <x:v>7.048792419328538</x:v>
      </x:c>
      <x:c r="H9" s="12" t="str">
        <x:v>残差条件達成</x:v>
      </x:c>
    </x:row>
    <x:row r="10">
      <x:c r="A10" s="12" t="n">
        <x:v>2</x:v>
      </x:c>
      <x:c r="B10" s="47" t="n">
        <x:v>0.000001</x:v>
      </x:c>
      <x:c r="C10" s="46" t="b">
        <x:v>1</x:v>
      </x:c>
      <x:c r="D10" s="12" t="n">
        <x:v>60</x:v>
      </x:c>
      <x:c r="E10" s="13" t="n">
        <x:v>1.211934</x:v>
      </x:c>
      <x:c r="F10" s="12" t="n">
        <x:v>1165</x:v>
      </x:c>
      <x:c r="G10" s="14" t="n">
        <x:f>E10/$J$2</x:f>
        <x:v>7.319370209990398</x:v>
      </x:c>
      <x:c r="H10" s="12" t="str">
        <x:v>残差条件達成</x:v>
      </x:c>
    </x:row>
    <x:row r="11">
      <x:c r="A11" s="12" t="n">
        <x:v>2</x:v>
      </x:c>
      <x:c r="B11" s="47" t="n">
        <x:v>1e-10</x:v>
      </x:c>
      <x:c r="C11" s="46" t="b">
        <x:v>1</x:v>
      </x:c>
      <x:c r="D11" s="12" t="n">
        <x:v>60</x:v>
      </x:c>
      <x:c r="E11" s="13" t="n">
        <x:v>1.301775</x:v>
      </x:c>
      <x:c r="F11" s="12" t="n">
        <x:v>1718</x:v>
      </x:c>
      <x:c r="G11" s="14" t="n">
        <x:f>E11/$J$2</x:f>
        <x:v>7.86195713224503</x:v>
      </x:c>
      <x:c r="H11" s="12" t="str">
        <x:v>残差条件達成</x:v>
      </x:c>
    </x:row>
    <x:row r="12">
      <x:c r="A12" s="15" t="n">
        <x:v>4</x:v>
      </x:c>
      <x:c r="B12" s="48" t="n">
        <x:v>0.01</x:v>
      </x:c>
      <x:c r="C12" s="49" t="b">
        <x:v>1</x:v>
      </x:c>
      <x:c r="D12" s="15" t="n">
        <x:v>33</x:v>
      </x:c>
      <x:c r="E12" s="16" t="n">
        <x:v>0.752108</x:v>
      </x:c>
      <x:c r="F12" s="15" t="n">
        <x:v>319</x:v>
      </x:c>
      <x:c r="G12" s="17" t="n">
        <x:f>E12/$J$2</x:f>
        <x:v>4.542290991007314</x:v>
      </x:c>
      <x:c r="H12" s="15" t="str">
        <x:v>最速の有効条件</x:v>
      </x:c>
    </x:row>
    <x:row r="13">
      <x:c r="A13" s="12" t="n">
        <x:v>4</x:v>
      </x:c>
      <x:c r="B13" s="47" t="n">
        <x:v>0.0001</x:v>
      </x:c>
      <x:c r="C13" s="46" t="b">
        <x:v>1</x:v>
      </x:c>
      <x:c r="D13" s="12" t="n">
        <x:v>33</x:v>
      </x:c>
      <x:c r="E13" s="13" t="n">
        <x:v>0.758765</x:v>
      </x:c>
      <x:c r="F13" s="12" t="n">
        <x:v>489</x:v>
      </x:c>
      <x:c r="G13" s="14" t="n">
        <x:f>E13/$J$2</x:f>
        <x:v>4.582495364750361</x:v>
      </x:c>
      <x:c r="H13" s="12" t="str">
        <x:v>残差条件達成</x:v>
      </x:c>
    </x:row>
    <x:row r="14">
      <x:c r="A14" s="12" t="n">
        <x:v>4</x:v>
      </x:c>
      <x:c r="B14" s="47" t="n">
        <x:v>0.000001</x:v>
      </x:c>
      <x:c r="C14" s="46" t="b">
        <x:v>1</x:v>
      </x:c>
      <x:c r="D14" s="12" t="n">
        <x:v>33</x:v>
      </x:c>
      <x:c r="E14" s="13" t="n">
        <x:v>0.787371</x:v>
      </x:c>
      <x:c r="F14" s="12" t="n">
        <x:v>629</x:v>
      </x:c>
      <x:c r="G14" s="14" t="n">
        <x:f>E14/$J$2</x:f>
        <x:v>4.755258819053141</x:v>
      </x:c>
      <x:c r="H14" s="12" t="str">
        <x:v>残差条件達成</x:v>
      </x:c>
    </x:row>
    <x:row r="15">
      <x:c r="A15" s="12" t="n">
        <x:v>4</x:v>
      </x:c>
      <x:c r="B15" s="47" t="n">
        <x:v>1e-10</x:v>
      </x:c>
      <x:c r="C15" s="46" t="b">
        <x:v>1</x:v>
      </x:c>
      <x:c r="D15" s="12" t="n">
        <x:v>33</x:v>
      </x:c>
      <x:c r="E15" s="13" t="n">
        <x:v>0.831476</x:v>
      </x:c>
      <x:c r="F15" s="12" t="n">
        <x:v>937</x:v>
      </x:c>
      <x:c r="G15" s="14" t="n">
        <x:f>E15/$J$2</x:f>
        <x:v>5.021627138707203</x:v>
      </x:c>
      <x:c r="H15" s="12" t="str">
        <x:v>残差条件達成</x:v>
      </x:c>
    </x:row>
  </x:sheetData>
  <x:mergeCells>
    <x:mergeCell ref="A1:H1"/>
  </x:mergeCells>
  <x:conditionalFormatting sqref="C4:C15">
    <x:cfRule type="expression" dxfId="0" priority="1">
      <x:formula>C4=FALSE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  <x:col min="3" max="3" width="58" hidden="0" customWidth="1"/>
    <x:col min="4" max="4" width="48" hidden="0" customWidth="1"/>
  </x:cols>
  <x:sheetData>
    <x:row r="1" ht="30" customHeight="1">
      <x:c r="A1" s="4" t="str">
        <x:v>実験条件・データ出典・注意事項</x:v>
      </x:c>
      <x:c r="B1" s="4" t="str">
        <x:v>実験条件・データ出典・注意事項</x:v>
      </x:c>
      <x:c r="C1" s="4" t="str">
        <x:v>実験条件・データ出典・注意事項</x:v>
      </x:c>
      <x:c r="D1" s="4" t="str">
        <x:v>実験条件・データ出典・注意事項</x:v>
      </x:c>
    </x:row>
    <x:row r="3">
      <x:c r="A3" s="10" t="str">
        <x:v>区分</x:v>
      </x:c>
      <x:c r="B3" s="10" t="str">
        <x:v>項目</x:v>
      </x:c>
      <x:c r="C3" s="10" t="str">
        <x:v>内容</x:v>
      </x:c>
      <x:c r="D3" s="10" t="str">
        <x:v>出典</x:v>
      </x:c>
    </x:row>
    <x:row r="4" ht="32" customHeight="1">
      <x:c r="A4" s="51" t="str">
        <x:v>共通条件</x:v>
      </x:c>
      <x:c r="B4" s="51" t="str">
        <x:v>計算機</x:v>
      </x:c>
      <x:c r="C4" s="51" t="str">
        <x:v>富岳・1ノード・48計算コア</x:v>
      </x:c>
      <x:c r="D4" s="51" t="str">
        <x:v>DWF_MG_IMPLEMENTATION_ROADMAP.md</x:v>
      </x:c>
    </x:row>
    <x:row r="5" ht="32" customHeight="1">
      <x:c r="A5" s="51" t="str">
        <x:v>共通条件</x:v>
      </x:c>
      <x:c r="B5" s="51" t="str">
        <x:v>並列構成</x:v>
      </x:c>
      <x:c r="C5" s="51" t="str">
        <x:v>MPI 4 × OpenMP 12</x:v>
      </x:c>
      <x:c r="D5" s="51" t="str">
        <x:v>DWF_MG_IMPLEMENTATION_ROADMAP.md</x:v>
      </x:c>
    </x:row>
    <x:row r="6" ht="32" customHeight="1">
      <x:c r="A6" s="51" t="str">
        <x:v>共通条件</x:v>
      </x:c>
      <x:c r="B6" s="51" t="str">
        <x:v>演算子</x:v>
      </x:c>
      <x:c r="C6" s="51" t="str">
        <x:v>DWF DdagD</x:v>
      </x:c>
      <x:c r="D6" s="51" t="str">
        <x:v>DWF_MG_IMPLEMENTATION_ROADMAP.md</x:v>
      </x:c>
    </x:row>
    <x:row r="7" ht="32" customHeight="1">
      <x:c r="A7" s="51" t="str">
        <x:v>共通条件</x:v>
      </x:c>
      <x:c r="B7" s="51" t="str">
        <x:v>バックエンド</x:v>
      </x:c>
      <x:c r="C7" s="51" t="str">
        <x:v>General QXS</x:v>
      </x:c>
      <x:c r="D7" s="51" t="str">
        <x:v>DWF_MG_IMPLEMENTATION_ROADMAP.md</x:v>
      </x:c>
    </x:row>
    <x:row r="8" ht="32" customHeight="1">
      <x:c r="A8" s="51" t="str">
        <x:v>共通条件</x:v>
      </x:c>
      <x:c r="B8" s="51" t="str">
        <x:v>初期解・許容誤差</x:v>
      </x:c>
      <x:c r="C8" s="51" t="str">
        <x:v>Zero・真の相対残差目標1.0e-8</x:v>
      </x:c>
      <x:c r="D8" s="51" t="str">
        <x:v>STAGE6_RESULT_50839216_50839468.md</x:v>
      </x:c>
    </x:row>
    <x:row r="9" ht="32" customHeight="1">
      <x:c r="A9" s="51" t="str">
        <x:v>Stage 6</x:v>
      </x:c>
      <x:c r="B9" s="51" t="str">
        <x:v>基準・MG初期検証</x:v>
      </x:c>
      <x:c r="C9" s="51" t="str">
        <x:v>CG 142反復、MG-FGMRES 33反復</x:v>
      </x:c>
      <x:c r="D9" s="51" t="str">
        <x:v>STAGE6_RESULT_50839216_50839468.md</x:v>
      </x:c>
    </x:row>
    <x:row r="10" ht="32" customHeight="1">
      <x:c r="A10" s="51" t="str">
        <x:v>Stage 7</x:v>
      </x:c>
      <x:c r="B10" s="51" t="str">
        <x:v>パラメータ掃引</x:v>
      </x:c>
      <x:c r="C10" s="51" t="str">
        <x:v>平滑化1/2/4回 × 粗格子許容誤差4条件</x:v>
      </x:c>
      <x:c r="D10" s="51" t="str">
        <x:v>STAGE7_RESULT_50840453.md</x:v>
      </x:c>
    </x:row>
    <x:row r="11" ht="32" customHeight="1">
      <x:c r="A11" s="51" t="str">
        <x:v>Stage 8</x:v>
      </x:c>
      <x:c r="B11" s="51" t="str">
        <x:v>DENSE/BLOCK SPARSE</x:v>
      </x:c>
      <x:c r="C11" s="51" t="str">
        <x:v>作用と残差は一致。疎版Solveは密版より約4%遅い</x:v>
      </x:c>
      <x:c r="D11" s="51" t="str">
        <x:v>DWF_MG_IMPLEMENTATION_ROADMAP.md</x:v>
      </x:c>
    </x:row>
    <x:row r="12" ht="32" customHeight="1">
      <x:c r="A12" s="51" t="str">
        <x:v>Stage 9</x:v>
      </x:c>
      <x:c r="B12" s="51" t="str">
        <x:v>局所性確認</x:v>
      </x:c>
      <x:c r="C12" s="51" t="str">
        <x:v>固定近傍によるO(V)直接構築が可能と判定</x:v>
      </x:c>
      <x:c r="D12" s="51" t="str">
        <x:v>STAGE9_RESULT_50872297.md</x:v>
      </x:c>
    </x:row>
    <x:row r="13" ht="32" customHeight="1">
      <x:c r="A13" s="51" t="str">
        <x:v>Stage 10</x:v>
      </x:c>
      <x:c r="B13" s="51" t="str">
        <x:v>直接構築</x:v>
      </x:c>
      <x:c r="C13" s="51" t="str">
        <x:v>16×8×8×8、128色、DdagD 1024回</x:v>
      </x:c>
      <x:c r="D13" s="51" t="str">
        <x:v>STAGE10_RESULT_50872888.md</x:v>
      </x:c>
    </x:row>
    <x:row r="14" ht="32" customHeight="1">
      <x:c r="A14" s="52" t="str">
        <x:v>最終比較</x:v>
      </x:c>
      <x:c r="B14" s="52" t="str">
        <x:v>MGなしCG</x:v>
      </x:c>
      <x:c r="C14" s="52" t="str">
        <x:v>Solve 0.189338秒</x:v>
      </x:c>
      <x:c r="D14" s="52" t="str">
        <x:v>本会話で提示された比較表</x:v>
      </x:c>
    </x:row>
    <x:row r="15" ht="32" customHeight="1">
      <x:c r="A15" s="52" t="str">
        <x:v>最終比較</x:v>
      </x:c>
      <x:c r="B15" s="52" t="str">
        <x:v>MG・DENSE</x:v>
      </x:c>
      <x:c r="C15" s="52" t="str">
        <x:v>Setup 246.220秒、Solve 4.133065秒</x:v>
      </x:c>
      <x:c r="D15" s="52" t="str">
        <x:v>本会話で提示された比較表</x:v>
      </x:c>
    </x:row>
    <x:row r="16" ht="32" customHeight="1">
      <x:c r="A16" s="52" t="str">
        <x:v>最終比較</x:v>
      </x:c>
      <x:c r="B16" s="52" t="str">
        <x:v>MG・BLOCK SPARSE</x:v>
      </x:c>
      <x:c r="C16" s="52" t="str">
        <x:v>同じDENSE Setupから変換、Solve 2.797558秒</x:v>
      </x:c>
      <x:c r="D16" s="52" t="str">
        <x:v>本会話で提示された比較表</x:v>
      </x:c>
    </x:row>
    <x:row r="17" ht="32" customHeight="1">
      <x:c r="A17" s="52" t="str">
        <x:v>最終比較</x:v>
      </x:c>
      <x:c r="B17" s="52" t="str">
        <x:v>MG・直接構築</x:v>
      </x:c>
      <x:c r="C17" s="52" t="str">
        <x:v>Setup 257.267秒、Solve 3.620884秒</x:v>
      </x:c>
      <x:c r="D17" s="52" t="str">
        <x:v>本会話で提示された比較表</x:v>
      </x:c>
    </x:row>
    <x:row r="18" ht="32" customHeight="1">
      <x:c r="A18" s="53" t="str">
        <x:v>注意</x:v>
      </x:c>
      <x:c r="B18" s="53" t="str">
        <x:v>最終比較の反復回数</x:v>
      </x:c>
      <x:c r="C18" s="53" t="str">
        <x:v>対応するローカル生ログ未確認のため空欄。推測値は記入していない</x:v>
      </x:c>
      <x:c r="D18" s="53" t="str">
        <x:v>本ワークブック作成時の監査</x:v>
      </x:c>
    </x:row>
  </x:sheetData>
  <x:mergeCells>
    <x:mergeCell ref="A1:D1"/>
  </x:mergeCells>
  <x:pageMargins left="0.7" right="0.7" top="0.75" bottom="0.75" header="0.3" footer="0.3"/>
</x:worksheet>
</file>