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intern1.UNGI-7.003\Desktop\Intern reserach data 2026\LQCD_performance\systems\fugaku\experiments\acle_vs_general\fugaku_8x8x8x8_mpi4_omp12_20260820\results\solver_cg_bar_charts_20260824\"/>
    </mc:Choice>
  </mc:AlternateContent>
  <xr:revisionPtr revIDLastSave="0" documentId="13_ncr:1_{DCD8BB09-9761-4660-AB86-844010BEE86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01_棒グラフ" sheetId="1" r:id="rId1"/>
    <sheet name="02_元データ" sheetId="2" r:id="rId2"/>
  </sheets>
  <calcPr calcId="0"/>
</workbook>
</file>

<file path=xl/calcChain.xml><?xml version="1.0" encoding="utf-8"?>
<calcChain xmlns="http://schemas.openxmlformats.org/spreadsheetml/2006/main">
  <c r="D8" i="2" l="1"/>
  <c r="D7" i="2"/>
  <c r="D6" i="2"/>
  <c r="D5" i="2"/>
  <c r="D4" i="2"/>
  <c r="D3" i="2"/>
  <c r="D2" i="2"/>
  <c r="C25" i="1"/>
  <c r="B25" i="1"/>
  <c r="A25" i="1"/>
  <c r="C24" i="1"/>
  <c r="B24" i="1"/>
  <c r="A24" i="1"/>
  <c r="C23" i="1"/>
  <c r="B23" i="1"/>
  <c r="A23" i="1"/>
  <c r="C22" i="1"/>
  <c r="B22" i="1"/>
  <c r="A22" i="1"/>
  <c r="C21" i="1"/>
  <c r="B21" i="1"/>
  <c r="A21" i="1"/>
  <c r="C12" i="1"/>
  <c r="B12" i="1"/>
  <c r="A12" i="1"/>
  <c r="C11" i="1"/>
  <c r="B11" i="1"/>
  <c r="A11" i="1"/>
</calcChain>
</file>

<file path=xl/sharedStrings.xml><?xml version="1.0" encoding="utf-8"?>
<sst xmlns="http://schemas.openxmlformats.org/spreadsheetml/2006/main" count="30" uniqueCount="26">
  <si>
    <t>富岳：CG/Solver内部処理時間（ACLE版 対 General版）</t>
  </si>
  <si>
    <t>測定条件</t>
  </si>
  <si>
    <t>値</t>
  </si>
  <si>
    <t>計算機</t>
  </si>
  <si>
    <t>富岳 A64FX</t>
  </si>
  <si>
    <t>並列構成</t>
  </si>
  <si>
    <t>1ノード・MPI4×OpenMP12</t>
  </si>
  <si>
    <t>格子・Solver</t>
  </si>
  <si>
    <t>8×8×8×8・CG</t>
  </si>
  <si>
    <t>測定</t>
  </si>
  <si>
    <t>ACLE/General 各1ジョブ</t>
  </si>
  <si>
    <t>処理</t>
  </si>
  <si>
    <t>ACLE</t>
  </si>
  <si>
    <t>General</t>
  </si>
  <si>
    <t>要点</t>
  </si>
  <si>
    <t>CG時間の94～97%をmult（D†D作用）が占めます。General版はACLE版よりCG全体で約4.99倍、multで約5.12倍長く、性能差の中心はD†D作用です。</t>
  </si>
  <si>
    <t>ACLE [秒]</t>
  </si>
  <si>
    <t>General [秒]</t>
  </si>
  <si>
    <t>General / ACLE</t>
  </si>
  <si>
    <t>CG全体</t>
  </si>
  <si>
    <t>mult</t>
  </si>
  <si>
    <t>dot</t>
  </si>
  <si>
    <t>axpy(x)</t>
  </si>
  <si>
    <t>axpy(r)</t>
  </si>
  <si>
    <t>norm2(r)</t>
  </si>
  <si>
    <t>aypx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</si>
</sst>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000"/>
    <numFmt numFmtId="177" formatCode="0.000\x"/>
    <numFmt numFmtId="178" formatCode="0.000"/>
  </numFmts>
  <fonts count="6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b/>
      <sz val="11"/>
      <color rgb="FF17365D"/>
      <name val="Carlito"/>
    </font>
    <font>
      <sz val="11"/>
      <name val="Carlito"/>
    </font>
    <font>
      <sz val="6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E2F0D9"/>
      </patternFill>
    </fill>
  </fills>
  <borders count="10">
    <border>
      <left/>
      <right/>
      <top/>
      <bottom/>
      <diagonal/>
    </border>
    <border>
      <left/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/>
      <top/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/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/>
      <top style="thin">
        <color rgb="FFD9E2F3"/>
      </top>
      <bottom/>
      <diagonal/>
    </border>
  </borders>
  <cellStyleXfs count="2">
    <xf numFmtId="0" fontId="0" fillId="0" borderId="0"/>
    <xf numFmtId="0" fontId="4" fillId="0" borderId="0"/>
  </cellStyleXfs>
  <cellXfs count="20">
    <xf numFmtId="0" fontId="0" fillId="0" borderId="0" xfId="0"/>
    <xf numFmtId="0" fontId="1" fillId="2" borderId="0" xfId="1" applyFont="1" applyFill="1"/>
    <xf numFmtId="0" fontId="1" fillId="2" borderId="0" xfId="1" applyFont="1" applyFill="1" applyAlignment="1">
      <alignment wrapText="1"/>
    </xf>
    <xf numFmtId="0" fontId="0" fillId="0" borderId="1" xfId="1" applyFont="1" applyBorder="1"/>
    <xf numFmtId="0" fontId="0" fillId="0" borderId="4" xfId="1" applyFont="1" applyBorder="1"/>
    <xf numFmtId="0" fontId="0" fillId="0" borderId="7" xfId="1" applyFont="1" applyBorder="1"/>
    <xf numFmtId="176" fontId="0" fillId="0" borderId="2" xfId="1" applyNumberFormat="1" applyFont="1" applyBorder="1"/>
    <xf numFmtId="176" fontId="0" fillId="0" borderId="5" xfId="1" applyNumberFormat="1" applyFont="1" applyBorder="1"/>
    <xf numFmtId="176" fontId="0" fillId="0" borderId="8" xfId="1" applyNumberFormat="1" applyFont="1" applyBorder="1"/>
    <xf numFmtId="177" fontId="0" fillId="0" borderId="3" xfId="1" applyNumberFormat="1" applyFont="1" applyBorder="1"/>
    <xf numFmtId="177" fontId="0" fillId="0" borderId="6" xfId="1" applyNumberFormat="1" applyFont="1" applyBorder="1"/>
    <xf numFmtId="177" fontId="0" fillId="0" borderId="9" xfId="1" applyNumberFormat="1" applyFont="1" applyBorder="1"/>
    <xf numFmtId="0" fontId="3" fillId="3" borderId="0" xfId="1" applyFont="1" applyFill="1"/>
    <xf numFmtId="0" fontId="3" fillId="0" borderId="0" xfId="1" applyFont="1"/>
    <xf numFmtId="178" fontId="0" fillId="0" borderId="0" xfId="1" applyNumberFormat="1" applyFont="1"/>
    <xf numFmtId="176" fontId="0" fillId="0" borderId="0" xfId="1" applyNumberFormat="1" applyFont="1"/>
    <xf numFmtId="0" fontId="2" fillId="2" borderId="0" xfId="1" applyFont="1" applyFill="1" applyAlignment="1">
      <alignment vertical="center"/>
    </xf>
    <xf numFmtId="0" fontId="0" fillId="0" borderId="0" xfId="0"/>
    <xf numFmtId="0" fontId="3" fillId="3" borderId="0" xfId="1" applyFont="1" applyFill="1"/>
    <xf numFmtId="0" fontId="0" fillId="4" borderId="0" xfId="1" applyFont="1" applyFill="1" applyAlignment="1">
      <alignment vertical="top" wrapText="1"/>
    </xf>
  </cellXfs>
  <cellStyles count="2">
    <cellStyle name="Normal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/>
          <a:lstStyle/>
          <a:p>
            <a:r>
              <a:rPr lang="en-US"/>
              <a:t>CG</a:t>
            </a:r>
            <a:r>
              <a:rPr lang="ja-JP" altLang="en-US"/>
              <a:t>全体と</a:t>
            </a:r>
            <a:r>
              <a:rPr lang="en-US"/>
              <a:t>mult</a:t>
            </a:r>
            <a:r>
              <a:rPr lang="ja-JP" altLang="en-US"/>
              <a:t>の合計時間（秒）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ACLE</c:v>
          </c:tx>
          <c:spPr>
            <a:solidFill>
              <a:srgbClr val="4472C4"/>
            </a:solidFill>
          </c:spPr>
          <c:invertIfNegative val="1"/>
          <c:cat>
            <c:strRef>
              <c:f>'01_棒グラフ'!$A$11:$A$12</c:f>
              <c:strCache>
                <c:ptCount val="2"/>
                <c:pt idx="0">
                  <c:v>CG全体</c:v>
                </c:pt>
                <c:pt idx="1">
                  <c:v>mult</c:v>
                </c:pt>
              </c:strCache>
            </c:strRef>
          </c:cat>
          <c:val>
            <c:numRef>
              <c:f>'01_棒グラフ'!$B$11:$B$12</c:f>
              <c:numCache>
                <c:formatCode>0.000</c:formatCode>
                <c:ptCount val="2"/>
                <c:pt idx="0">
                  <c:v>5.7011374999999997</c:v>
                </c:pt>
                <c:pt idx="1">
                  <c:v>5.3693513319999999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24E7-4FF3-BA7D-8C4E3F738788}"/>
            </c:ext>
          </c:extLst>
        </c:ser>
        <c:ser>
          <c:idx val="1"/>
          <c:order val="1"/>
          <c:tx>
            <c:v>General</c:v>
          </c:tx>
          <c:spPr>
            <a:solidFill>
              <a:srgbClr val="ED7D31"/>
            </a:solidFill>
          </c:spPr>
          <c:invertIfNegative val="1"/>
          <c:cat>
            <c:strRef>
              <c:f>'01_棒グラフ'!$A$11:$A$12</c:f>
              <c:strCache>
                <c:ptCount val="2"/>
                <c:pt idx="0">
                  <c:v>CG全体</c:v>
                </c:pt>
                <c:pt idx="1">
                  <c:v>mult</c:v>
                </c:pt>
              </c:strCache>
            </c:strRef>
          </c:cat>
          <c:val>
            <c:numRef>
              <c:f>'01_棒グラフ'!$C$11:$C$12</c:f>
              <c:numCache>
                <c:formatCode>0.000</c:formatCode>
                <c:ptCount val="2"/>
                <c:pt idx="0">
                  <c:v>28.421267912000001</c:v>
                </c:pt>
                <c:pt idx="1">
                  <c:v>27.483518403000001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1-24E7-4FF3-BA7D-8C4E3F7387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/>
          <a:lstStyle/>
          <a:p>
            <a:r>
              <a:rPr lang="en-US"/>
              <a:t>CG</a:t>
            </a:r>
            <a:r>
              <a:rPr lang="ja-JP" altLang="en-US"/>
              <a:t>内ベクトル処理の合計時間（秒）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ACLE</c:v>
          </c:tx>
          <c:spPr>
            <a:solidFill>
              <a:srgbClr val="4472C4"/>
            </a:solidFill>
          </c:spPr>
          <c:invertIfNegative val="1"/>
          <c:cat>
            <c:strRef>
              <c:f>'01_棒グラフ'!$A$21:$A$25</c:f>
              <c:strCache>
                <c:ptCount val="5"/>
                <c:pt idx="0">
                  <c:v>dot</c:v>
                </c:pt>
                <c:pt idx="1">
                  <c:v>axpy(x)</c:v>
                </c:pt>
                <c:pt idx="2">
                  <c:v>axpy(r)</c:v>
                </c:pt>
                <c:pt idx="3">
                  <c:v>norm2(r)</c:v>
                </c:pt>
                <c:pt idx="4">
                  <c:v>aypx</c:v>
                </c:pt>
              </c:strCache>
            </c:strRef>
          </c:cat>
          <c:val>
            <c:numRef>
              <c:f>'01_棒グラフ'!$B$21:$B$25</c:f>
              <c:numCache>
                <c:formatCode>0.000000</c:formatCode>
                <c:ptCount val="5"/>
                <c:pt idx="0">
                  <c:v>0.100517525</c:v>
                </c:pt>
                <c:pt idx="1">
                  <c:v>1.4566702000000001E-2</c:v>
                </c:pt>
                <c:pt idx="2">
                  <c:v>1.7404592E-2</c:v>
                </c:pt>
                <c:pt idx="3">
                  <c:v>8.7360274000000002E-2</c:v>
                </c:pt>
                <c:pt idx="4">
                  <c:v>1.6823168999999999E-2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B66B-4FD8-8A0D-E2472B10E2EA}"/>
            </c:ext>
          </c:extLst>
        </c:ser>
        <c:ser>
          <c:idx val="1"/>
          <c:order val="1"/>
          <c:tx>
            <c:v>General</c:v>
          </c:tx>
          <c:spPr>
            <a:solidFill>
              <a:srgbClr val="ED7D31"/>
            </a:solidFill>
          </c:spPr>
          <c:invertIfNegative val="1"/>
          <c:cat>
            <c:strRef>
              <c:f>'01_棒グラフ'!$A$21:$A$25</c:f>
              <c:strCache>
                <c:ptCount val="5"/>
                <c:pt idx="0">
                  <c:v>dot</c:v>
                </c:pt>
                <c:pt idx="1">
                  <c:v>axpy(x)</c:v>
                </c:pt>
                <c:pt idx="2">
                  <c:v>axpy(r)</c:v>
                </c:pt>
                <c:pt idx="3">
                  <c:v>norm2(r)</c:v>
                </c:pt>
                <c:pt idx="4">
                  <c:v>aypx</c:v>
                </c:pt>
              </c:strCache>
            </c:strRef>
          </c:cat>
          <c:val>
            <c:numRef>
              <c:f>'01_棒グラフ'!$C$21:$C$25</c:f>
              <c:numCache>
                <c:formatCode>0.000000</c:formatCode>
                <c:ptCount val="5"/>
                <c:pt idx="0">
                  <c:v>0.16061650199999999</c:v>
                </c:pt>
                <c:pt idx="1">
                  <c:v>7.9058075000000005E-2</c:v>
                </c:pt>
                <c:pt idx="2">
                  <c:v>7.9387416000000002E-2</c:v>
                </c:pt>
                <c:pt idx="3">
                  <c:v>0.115549928</c:v>
                </c:pt>
                <c:pt idx="4">
                  <c:v>7.9410909000000002E-2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1-B66B-4FD8-8A0D-E2472B10E2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0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14</xdr:col>
      <xdr:colOff>0</xdr:colOff>
      <xdr:row>17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18</xdr:row>
      <xdr:rowOff>0</xdr:rowOff>
    </xdr:from>
    <xdr:to>
      <xdr:col>14</xdr:col>
      <xdr:colOff>0</xdr:colOff>
      <xdr:row>35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"/>
  <sheetViews>
    <sheetView showGridLines="0" tabSelected="1" zoomScale="55" zoomScaleNormal="55" workbookViewId="0">
      <selection activeCell="T29" sqref="T29"/>
    </sheetView>
  </sheetViews>
  <sheetFormatPr defaultRowHeight="14"/>
  <cols>
    <col min="1" max="1" width="17" customWidth="1"/>
    <col min="2" max="3" width="15" customWidth="1"/>
    <col min="4" max="4" width="4" customWidth="1"/>
  </cols>
  <sheetData>
    <row r="1" spans="1:14" ht="30" customHeight="1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</row>
    <row r="3" spans="1:14">
      <c r="A3" s="12" t="s">
        <v>1</v>
      </c>
      <c r="B3" s="12" t="s">
        <v>2</v>
      </c>
      <c r="C3" s="12"/>
      <c r="D3" s="12"/>
    </row>
    <row r="4" spans="1:14">
      <c r="A4" s="13" t="s">
        <v>3</v>
      </c>
      <c r="B4" t="s">
        <v>4</v>
      </c>
    </row>
    <row r="5" spans="1:14">
      <c r="A5" s="13" t="s">
        <v>5</v>
      </c>
      <c r="B5" t="s">
        <v>6</v>
      </c>
    </row>
    <row r="6" spans="1:14">
      <c r="A6" s="13" t="s">
        <v>7</v>
      </c>
      <c r="B6" t="s">
        <v>8</v>
      </c>
    </row>
    <row r="7" spans="1:14">
      <c r="A7" s="13" t="s">
        <v>9</v>
      </c>
      <c r="B7" t="s">
        <v>10</v>
      </c>
    </row>
    <row r="10" spans="1:14">
      <c r="A10" s="1" t="s">
        <v>11</v>
      </c>
      <c r="B10" s="1" t="s">
        <v>12</v>
      </c>
      <c r="C10" s="1" t="s">
        <v>13</v>
      </c>
    </row>
    <row r="11" spans="1:14">
      <c r="A11" t="str">
        <f>'02_元データ'!A2</f>
        <v>CG全体</v>
      </c>
      <c r="B11" s="14">
        <f>'02_元データ'!B2</f>
        <v>5.7011374999999997</v>
      </c>
      <c r="C11" s="14">
        <f>'02_元データ'!C2</f>
        <v>28.421267912000001</v>
      </c>
    </row>
    <row r="12" spans="1:14">
      <c r="A12" t="str">
        <f>'02_元データ'!A3</f>
        <v>mult</v>
      </c>
      <c r="B12" s="14">
        <f>'02_元データ'!B3</f>
        <v>5.3693513319999999</v>
      </c>
      <c r="C12" s="14">
        <f>'02_元データ'!C3</f>
        <v>27.483518403000001</v>
      </c>
    </row>
    <row r="20" spans="1:5">
      <c r="A20" s="1" t="s">
        <v>11</v>
      </c>
      <c r="B20" s="1" t="s">
        <v>12</v>
      </c>
      <c r="C20" s="1" t="s">
        <v>13</v>
      </c>
    </row>
    <row r="21" spans="1:5">
      <c r="A21" t="str">
        <f>'02_元データ'!A4</f>
        <v>dot</v>
      </c>
      <c r="B21" s="15">
        <f>'02_元データ'!B4</f>
        <v>0.100517525</v>
      </c>
      <c r="C21" s="15">
        <f>'02_元データ'!C4</f>
        <v>0.16061650199999999</v>
      </c>
    </row>
    <row r="22" spans="1:5">
      <c r="A22" t="str">
        <f>'02_元データ'!A5</f>
        <v>axpy(x)</v>
      </c>
      <c r="B22" s="15">
        <f>'02_元データ'!B5</f>
        <v>1.4566702000000001E-2</v>
      </c>
      <c r="C22" s="15">
        <f>'02_元データ'!C5</f>
        <v>7.9058075000000005E-2</v>
      </c>
    </row>
    <row r="23" spans="1:5">
      <c r="A23" t="str">
        <f>'02_元データ'!A6</f>
        <v>axpy(r)</v>
      </c>
      <c r="B23" s="15">
        <f>'02_元データ'!B6</f>
        <v>1.7404592E-2</v>
      </c>
      <c r="C23" s="15">
        <f>'02_元データ'!C6</f>
        <v>7.9387416000000002E-2</v>
      </c>
    </row>
    <row r="24" spans="1:5">
      <c r="A24" t="str">
        <f>'02_元データ'!A7</f>
        <v>norm2(r)</v>
      </c>
      <c r="B24" s="15">
        <f>'02_元データ'!B7</f>
        <v>8.7360274000000002E-2</v>
      </c>
      <c r="C24" s="15">
        <f>'02_元データ'!C7</f>
        <v>0.115549928</v>
      </c>
    </row>
    <row r="25" spans="1:5">
      <c r="A25" t="str">
        <f>'02_元データ'!A8</f>
        <v>aypx</v>
      </c>
      <c r="B25" s="15">
        <f>'02_元データ'!B8</f>
        <v>1.6823168999999999E-2</v>
      </c>
      <c r="C25" s="15">
        <f>'02_元データ'!C8</f>
        <v>7.9410909000000002E-2</v>
      </c>
    </row>
    <row r="28" spans="1:5">
      <c r="A28" s="18" t="s">
        <v>14</v>
      </c>
      <c r="B28" s="17"/>
      <c r="C28" s="17"/>
      <c r="D28" s="17"/>
      <c r="E28" s="17"/>
    </row>
    <row r="29" spans="1:5" ht="58" customHeight="1">
      <c r="A29" s="19" t="s">
        <v>15</v>
      </c>
      <c r="B29" s="17"/>
      <c r="C29" s="17"/>
      <c r="D29" s="17"/>
      <c r="E29" s="17"/>
    </row>
    <row r="30" spans="1:5">
      <c r="A30" s="17"/>
      <c r="B30" s="17"/>
      <c r="C30" s="17"/>
      <c r="D30" s="17"/>
      <c r="E30" s="17"/>
    </row>
    <row r="31" spans="1:5">
      <c r="A31" s="17"/>
      <c r="B31" s="17"/>
      <c r="C31" s="17"/>
      <c r="D31" s="17"/>
      <c r="E31" s="17"/>
    </row>
    <row r="32" spans="1:5">
      <c r="A32" s="17"/>
      <c r="B32" s="17"/>
      <c r="C32" s="17"/>
      <c r="D32" s="17"/>
      <c r="E32" s="17"/>
    </row>
  </sheetData>
  <mergeCells count="3">
    <mergeCell ref="A1:N1"/>
    <mergeCell ref="A28:E28"/>
    <mergeCell ref="A29:E32"/>
  </mergeCells>
  <phoneticPr fontId="5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showGridLines="0" workbookViewId="0"/>
  </sheetViews>
  <sheetFormatPr defaultRowHeight="14"/>
  <cols>
    <col min="1" max="4" width="18" customWidth="1"/>
  </cols>
  <sheetData>
    <row r="1" spans="1:4">
      <c r="A1" s="2" t="s">
        <v>11</v>
      </c>
      <c r="B1" s="2" t="s">
        <v>16</v>
      </c>
      <c r="C1" s="2" t="s">
        <v>17</v>
      </c>
      <c r="D1" s="2" t="s">
        <v>18</v>
      </c>
    </row>
    <row r="2" spans="1:4">
      <c r="A2" s="3" t="s">
        <v>19</v>
      </c>
      <c r="B2" s="6">
        <v>5.7011374999999997</v>
      </c>
      <c r="C2" s="6">
        <v>28.421267912000001</v>
      </c>
      <c r="D2" s="9">
        <f t="shared" ref="D2:D8" si="0">C2/B2</f>
        <v>4.9851925009702018</v>
      </c>
    </row>
    <row r="3" spans="1:4">
      <c r="A3" s="4" t="s">
        <v>20</v>
      </c>
      <c r="B3" s="7">
        <v>5.3693513319999999</v>
      </c>
      <c r="C3" s="7">
        <v>27.483518403000001</v>
      </c>
      <c r="D3" s="10">
        <f t="shared" si="0"/>
        <v>5.1185919310597274</v>
      </c>
    </row>
    <row r="4" spans="1:4">
      <c r="A4" s="4" t="s">
        <v>21</v>
      </c>
      <c r="B4" s="7">
        <v>0.100517525</v>
      </c>
      <c r="C4" s="7">
        <v>0.16061650199999999</v>
      </c>
      <c r="D4" s="10">
        <f t="shared" si="0"/>
        <v>1.5978955112553757</v>
      </c>
    </row>
    <row r="5" spans="1:4">
      <c r="A5" s="4" t="s">
        <v>22</v>
      </c>
      <c r="B5" s="7">
        <v>1.4566702000000001E-2</v>
      </c>
      <c r="C5" s="7">
        <v>7.9058075000000005E-2</v>
      </c>
      <c r="D5" s="10">
        <f t="shared" si="0"/>
        <v>5.427314638550305</v>
      </c>
    </row>
    <row r="6" spans="1:4">
      <c r="A6" s="4" t="s">
        <v>23</v>
      </c>
      <c r="B6" s="7">
        <v>1.7404592E-2</v>
      </c>
      <c r="C6" s="7">
        <v>7.9387416000000002E-2</v>
      </c>
      <c r="D6" s="10">
        <f t="shared" si="0"/>
        <v>4.5612914109104086</v>
      </c>
    </row>
    <row r="7" spans="1:4">
      <c r="A7" s="4" t="s">
        <v>24</v>
      </c>
      <c r="B7" s="7">
        <v>8.7360274000000002E-2</v>
      </c>
      <c r="C7" s="7">
        <v>0.115549928</v>
      </c>
      <c r="D7" s="10">
        <f t="shared" si="0"/>
        <v>1.3226827562376922</v>
      </c>
    </row>
    <row r="8" spans="1:4">
      <c r="A8" s="5" t="s">
        <v>25</v>
      </c>
      <c r="B8" s="8">
        <v>1.6823168999999999E-2</v>
      </c>
      <c r="C8" s="8">
        <v>7.9410909000000002E-2</v>
      </c>
      <c r="D8" s="11">
        <f t="shared" si="0"/>
        <v>4.7203299806356345</v>
      </c>
    </row>
  </sheetData>
  <phoneticPr fontId="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01_棒グラフ</vt:lpstr>
      <vt:lpstr>02_元データ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intern1</cp:lastModifiedBy>
  <dcterms:modified xsi:type="dcterms:W3CDTF">2026-08-24T00:54:46Z</dcterms:modified>
</cp:coreProperties>
</file>