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1986689ec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発表用まとめ" sheetId="1" r:id="R9dc5ded2b8cc41ba"/>
    <x:sheet xmlns:r="http://schemas.openxmlformats.org/officeDocument/2006/relationships" name="02_統計比較" sheetId="2" r:id="R46011f923c904af4"/>
    <x:sheet xmlns:r="http://schemas.openxmlformats.org/officeDocument/2006/relationships" name="03_10回結果" sheetId="3" r:id="Raae1856cbb164bca"/>
    <x:sheet xmlns:r="http://schemas.openxmlformats.org/officeDocument/2006/relationships" name="04_ペア差" sheetId="4" r:id="R5df2014da8424205"/>
    <x:sheet xmlns:r="http://schemas.openxmlformats.org/officeDocument/2006/relationships" name="05_条件と注意" sheetId="5" r:id="R4bc69be5f9064369"/>
    <x:sheet xmlns:r="http://schemas.openxmlformats.org/officeDocument/2006/relationships" name="06_予備資料_10回統計" sheetId="6" r:id="R5f1cce6a9c64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4" fillId="5" borderId="1" xfId="0" applyNumberFormat="1" applyFont="1" applyFill="1" applyBorder="1"/>
    <x:xf numFmtId="201" fontId="0" fillId="0" borderId="2" xfId="0" applyNumberFormat="1" applyFont="1" applyFill="1" applyBorder="1"/>
    <x:xf numFmtId="0" fontId="4" fillId="5" borderId="2" xfId="0" applyNumberFormat="1" applyFont="1" applyFill="1" applyBorder="1"/>
    <x:xf numFmtId="200" fontId="4" fillId="5" borderId="2" xfId="0" applyNumberFormat="1" applyFont="1" applyFill="1" applyBorder="1"/>
    <x:xf numFmtId="201" fontId="4" fillId="5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2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35ba946304b6b" /><Relationship Type="http://schemas.openxmlformats.org/officeDocument/2006/relationships/theme" Target="/xl/theme/theme1.xml" Id="Rd2baa696fd1d4d15" /><Relationship Type="http://schemas.openxmlformats.org/officeDocument/2006/relationships/sharedStrings" Target="/xl/sharedStrings.xml" Id="R82022d78a6044149" /><Relationship Type="http://schemas.openxmlformats.org/officeDocument/2006/relationships/worksheet" Target="/xl/worksheets/sheet1.xml" Id="R9dc5ded2b8cc41ba" /><Relationship Type="http://schemas.openxmlformats.org/officeDocument/2006/relationships/worksheet" Target="/xl/worksheets/sheet2.xml" Id="R46011f923c904af4" /><Relationship Type="http://schemas.openxmlformats.org/officeDocument/2006/relationships/worksheet" Target="/xl/worksheets/sheet3.xml" Id="Raae1856cbb164bca" /><Relationship Type="http://schemas.openxmlformats.org/officeDocument/2006/relationships/worksheet" Target="/xl/worksheets/sheet4.xml" Id="R5df2014da8424205" /><Relationship Type="http://schemas.openxmlformats.org/officeDocument/2006/relationships/worksheet" Target="/xl/worksheets/sheet5.xml" Id="R4bc69be5f9064369" /><Relationship Type="http://schemas.openxmlformats.org/officeDocument/2006/relationships/worksheet" Target="/xl/worksheets/sheet6.xml" Id="R5f1cce6a9c6442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2092993f084bc1" /><Relationship Type="http://schemas.openxmlformats.org/officeDocument/2006/relationships/chart" Target="/xl/drawings/charts/chart2.xml" Id="R852bb8c9ae0b45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融合対象カーネルの平均時間（秒）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融合なし</c:v>
          </c:tx>
          <c:cat>
            <c:strRef>
              <c:f>'01_発表用まとめ'!$H$5:$H$6</c:f>
              <c:strCache>
                <c:ptCount val="0"/>
              </c:strCache>
            </c:strRef>
          </c:cat>
          <c:val>
            <c:numRef>
              <c:f>'01_発表用まとめ'!$I$5:$I$6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融合あり</c:v>
          </c:tx>
          <c:cat>
            <c:strRef>
              <c:f>'01_発表用まとめ'!$H$5:$H$6</c:f>
              <c:strCache>
                <c:ptCount val="0"/>
              </c:strCache>
            </c:strRef>
          </c:cat>
          <c:val>
            <c:numRef>
              <c:f>'01_発表用まとめ'!$J$5:$J$6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処理別の短縮率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短縮率</c:v>
          </c:tx>
          <c:cat>
            <c:strRef>
              <c:f>'01_発表用まとめ'!$H$23:$H$26</c:f>
              <c:strCache>
                <c:ptCount val="0"/>
              </c:strCache>
            </c:strRef>
          </c:cat>
          <c:val>
            <c:numRef>
              <c:f>'01_発表用まとめ'!$I$23:$I$26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2092993f084bc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2bb8c9ae0b45e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e841b613b64a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5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15" t="str">
        <x:v>関数融合による性能変化（富岳・10組のペア比較）</x:v>
      </x:c>
      <x:c r="B1" s="15" t="str">
        <x:v>関数融合による性能変化（富岳・10組のペア比較）</x:v>
      </x:c>
      <x:c r="C1" s="15" t="str">
        <x:v>関数融合による性能変化（富岳・10組のペア比較）</x:v>
      </x:c>
      <x:c r="D1" s="15" t="str">
        <x:v>関数融合による性能変化（富岳・10組のペア比較）</x:v>
      </x:c>
      <x:c r="E1" s="15" t="str">
        <x:v>関数融合による性能変化（富岳・10組のペア比較）</x:v>
      </x:c>
      <x:c r="F1" s="15" t="str">
        <x:v>関数融合による性能変化（富岳・10組のペア比較）</x:v>
      </x:c>
      <x:c r="G1" s="15" t="str">
        <x:v>関数融合による性能変化（富岳・10組のペア比較）</x:v>
      </x:c>
      <x:c r="H1" s="15" t="str">
        <x:v>関数融合による性能変化（富岳・10組のペア比較）</x:v>
      </x:c>
      <x:c r="I1" s="15" t="str">
        <x:v>関数融合による性能変化（富岳・10組のペア比較）</x:v>
      </x:c>
      <x:c r="J1" s="15" t="str">
        <x:v>関数融合による性能変化（富岳・10組のペア比較）</x:v>
      </x:c>
      <x:c r="K1" s="15" t="str">
        <x:v>関数融合による性能変化（富岳・10組のペア比較）</x:v>
      </x:c>
      <x:c r="L1" s="15" t="str">
        <x:v>関数融合による性能変化（富岳・10組のペア比較）</x:v>
      </x:c>
      <x:c r="M1" s="15" t="str">
        <x:v>関数融合による性能変化（富岳・10組のペア比較）</x:v>
      </x:c>
      <x:c r="N1" s="15" t="str">
        <x:v>関数融合による性能変化（富岳・10組のペア比較）</x:v>
      </x:c>
    </x:row>
    <x:row r="2" ht="30" customHeight="1">
      <x:c r="A2" s="15" t="str">
        <x:v>関数融合による性能変化（富岳・10組のペア比較）</x:v>
      </x:c>
      <x:c r="B2" s="15" t="str">
        <x:v>関数融合による性能変化（富岳・10組のペア比較）</x:v>
      </x:c>
      <x:c r="C2" s="15" t="str">
        <x:v>関数融合による性能変化（富岳・10組のペア比較）</x:v>
      </x:c>
      <x:c r="D2" s="15" t="str">
        <x:v>関数融合による性能変化（富岳・10組のペア比較）</x:v>
      </x:c>
      <x:c r="E2" s="15" t="str">
        <x:v>関数融合による性能変化（富岳・10組のペア比較）</x:v>
      </x:c>
      <x:c r="F2" s="15" t="str">
        <x:v>関数融合による性能変化（富岳・10組のペア比較）</x:v>
      </x:c>
      <x:c r="G2" s="15" t="str">
        <x:v>関数融合による性能変化（富岳・10組のペア比較）</x:v>
      </x:c>
      <x:c r="H2" s="15" t="str">
        <x:v>関数融合による性能変化（富岳・10組のペア比較）</x:v>
      </x:c>
      <x:c r="I2" s="15" t="str">
        <x:v>関数融合による性能変化（富岳・10組のペア比較）</x:v>
      </x:c>
      <x:c r="J2" s="15" t="str">
        <x:v>関数融合による性能変化（富岳・10組のペア比較）</x:v>
      </x:c>
      <x:c r="K2" s="15" t="str">
        <x:v>関数融合による性能変化（富岳・10組のペア比較）</x:v>
      </x:c>
      <x:c r="L2" s="15" t="str">
        <x:v>関数融合による性能変化（富岳・10組のペア比較）</x:v>
      </x:c>
      <x:c r="M2" s="15" t="str">
        <x:v>関数融合による性能変化（富岳・10組のペア比較）</x:v>
      </x:c>
      <x:c r="N2" s="15" t="str">
        <x:v>関数融合による性能変化（富岳・10組のペア比較）</x:v>
      </x:c>
    </x:row>
    <x:row r="4">
      <x:c r="A4" s="5" t="str">
        <x:v>測定項目</x:v>
      </x:c>
      <x:c r="B4" s="5" t="str">
        <x:v>融合なし平均 [秒]</x:v>
      </x:c>
      <x:c r="C4" s="5" t="str">
        <x:v>融合あり平均 [秒]</x:v>
      </x:c>
      <x:c r="D4" s="5" t="str">
        <x:v>短縮時間 [秒]</x:v>
      </x:c>
      <x:c r="E4" s="5" t="str">
        <x:v>短縮率</x:v>
      </x:c>
      <x:c r="F4" s="5" t="str">
        <x:v>判定</x:v>
      </x:c>
      <x:c r="H4" t="str">
        <x:v>局所処理</x:v>
      </x:c>
      <x:c r="I4" t="str">
        <x:v>融合なし</x:v>
      </x:c>
      <x:c r="J4" t="str">
        <x:v>融合あり</x:v>
      </x:c>
    </x:row>
    <x:row r="5">
      <x:c r="A5" s="16" t="str">
        <x:v>CG 残差更新（AXPY + norm2）</x:v>
      </x:c>
      <x:c r="B5" s="17" t="n">
        <x:f>'02_統計比較'!C9</x:f>
        <x:v>0.104543979698</x:v>
      </x:c>
      <x:c r="C5" s="17" t="n">
        <x:f>'02_統計比較'!F9</x:f>
        <x:v>0.0901457964135</x:v>
      </x:c>
      <x:c r="D5" s="17" t="n">
        <x:f>B5-C5</x:f>
        <x:v>0.014398183284500002</x:v>
      </x:c>
      <x:c r="E5" s="18" t="n">
        <x:f>IF(B5=0,0,D5/B5)</x:f>
        <x:v>0.1377236960568419</x:v>
      </x:c>
      <x:c r="F5" s="16" t="str">
        <x:v>局所処理：短縮を確認</x:v>
      </x:c>
      <x:c r="H5" t="str">
        <x:v>CG残差更新</x:v>
      </x:c>
      <x:c r="I5" t="n">
        <x:f>B5</x:f>
        <x:v>0.104543979698</x:v>
      </x:c>
      <x:c r="J5" t="n">
        <x:f>C5</x:f>
        <x:v>0.0901457964135</x:v>
      </x:c>
    </x:row>
    <x:row r="6">
      <x:c r="A6" s="16" t="str">
        <x:v>CG 全体</x:v>
      </x:c>
      <x:c r="B6" s="17" t="n">
        <x:f>'02_統計比較'!C7</x:f>
        <x:v>5.71525223634</x:v>
      </x:c>
      <x:c r="C6" s="17" t="n">
        <x:f>'02_統計比較'!F7</x:f>
        <x:v>5.67953022061</x:v>
      </x:c>
      <x:c r="D6" s="17" t="n">
        <x:f>B6-C6</x:f>
        <x:v>0.035722015729999335</x:v>
      </x:c>
      <x:c r="E6" s="18" t="n">
        <x:f>IF(B6=0,0,D6/B6)</x:f>
        <x:v>0.006250295569260022</x:v>
      </x:c>
      <x:c r="F6" s="16" t="str">
        <x:v>全体：変化は小さい</x:v>
      </x:c>
      <x:c r="H6" t="str">
        <x:v>D†D combine</x:v>
      </x:c>
      <x:c r="I6" t="n">
        <x:f>B7</x:f>
        <x:v>0.134884364082</x:v>
      </x:c>
      <x:c r="J6" t="n">
        <x:f>C7</x:f>
        <x:v>0.0931812038411</x:v>
      </x:c>
    </x:row>
    <x:row r="7">
      <x:c r="A7" s="16" t="str">
        <x:v>D†D combine 部</x:v>
      </x:c>
      <x:c r="B7" s="17" t="n">
        <x:f>'02_統計比較'!C16</x:f>
        <x:v>0.134884364082</x:v>
      </x:c>
      <x:c r="C7" s="17" t="n">
        <x:f>'02_統計比較'!F16</x:f>
        <x:v>0.0931812038411</x:v>
      </x:c>
      <x:c r="D7" s="17" t="n">
        <x:f>B7-C7</x:f>
        <x:v>0.0417031602409</x:v>
      </x:c>
      <x:c r="E7" s="18" t="n">
        <x:f>IF(B7=0,0,D7/B7)</x:f>
        <x:v>0.3091771275694155</x:v>
      </x:c>
      <x:c r="F7" s="16" t="str">
        <x:v>局所処理：短縮を確認</x:v>
      </x:c>
    </x:row>
    <x:row r="8">
      <x:c r="A8" s="16" t="str">
        <x:v>D†D 全体</x:v>
      </x:c>
      <x:c r="B8" s="17" t="n">
        <x:f>'02_統計比較'!C15</x:f>
        <x:v>7.98789744321</x:v>
      </x:c>
      <x:c r="C8" s="17" t="n">
        <x:f>'02_統計比較'!F15</x:f>
        <x:v>7.95587679458</x:v>
      </x:c>
      <x:c r="D8" s="17" t="n">
        <x:f>B8-C8</x:f>
        <x:v>0.03202064862999965</x:v>
      </x:c>
      <x:c r="E8" s="18" t="n">
        <x:f>IF(B8=0,0,D8/B8)</x:f>
        <x:v>0.0040086454361301736</x:v>
      </x:c>
      <x:c r="F8" s="16" t="str">
        <x:v>全体：変化は小さい</x:v>
      </x:c>
    </x:row>
    <x:row r="9">
      <x:c r="A9" s="16" t="str">
        <x:v>Trajectory</x:v>
      </x:c>
      <x:c r="B9" s="17" t="n">
        <x:f>'02_統計比較'!C2</x:f>
        <x:v>22.819</x:v>
      </x:c>
      <x:c r="C9" s="17" t="n">
        <x:f>'02_統計比較'!F2</x:f>
        <x:v>22.739</x:v>
      </x:c>
      <x:c r="D9" s="17" t="n">
        <x:f>B9-C9</x:f>
        <x:v>0.0799999999999983</x:v>
      </x:c>
      <x:c r="E9" s="18" t="n">
        <x:f>IF(B9=0,0,D9/B9)</x:f>
        <x:v>0.0035058503878346247</x:v>
      </x:c>
      <x:c r="F9" s="16" t="str">
        <x:v>全体：ばらつきに注意</x:v>
      </x:c>
    </x:row>
    <x:row r="10">
      <x:c r="A10" s="16" t="str">
        <x:v>update_Nf2p1_eo</x:v>
      </x:c>
      <x:c r="B10" s="17" t="n">
        <x:f>'02_統計比較'!C3</x:f>
        <x:v>22.928</x:v>
      </x:c>
      <x:c r="C10" s="17" t="n">
        <x:f>'02_統計比較'!F3</x:f>
        <x:v>22.846</x:v>
      </x:c>
      <x:c r="D10" s="17" t="n">
        <x:f>B10-C10</x:f>
        <x:v>0.08200000000000074</x:v>
      </x:c>
      <x:c r="E10" s="18" t="n">
        <x:f>IF(B10=0,0,D10/B10)</x:f>
        <x:v>0.003576413119330109</x:v>
      </x:c>
      <x:c r="F10" s="16" t="str">
        <x:v>全体：ばらつきに注意</x:v>
      </x:c>
    </x:row>
    <x:row r="11">
      <x:c r="A11" s="16" t="str">
        <x:v>Main</x:v>
      </x:c>
      <x:c r="B11" s="17" t="n">
        <x:f>'02_統計比較'!C4</x:f>
        <x:v>23.232</x:v>
      </x:c>
      <x:c r="C11" s="17" t="n">
        <x:f>'02_統計比較'!F4</x:f>
        <x:v>23.131</x:v>
      </x:c>
      <x:c r="D11" s="17" t="n">
        <x:f>B11-C11</x:f>
        <x:v>0.10099999999999909</x:v>
      </x:c>
      <x:c r="E11" s="18" t="n">
        <x:f>IF(B11=0,0,D11/B11)</x:f>
        <x:v>0.0043474517906335695</x:v>
      </x:c>
      <x:c r="F11" s="16" t="str">
        <x:v>全体：ばらつきに注意</x:v>
      </x:c>
    </x:row>
    <x:row r="12">
      <x:c r="A12" s="16" t="str">
        <x:v>外部 wall time</x:v>
      </x:c>
      <x:c r="B12" s="17" t="n">
        <x:f>'02_統計比較'!C5</x:f>
        <x:v>25.695</x:v>
      </x:c>
      <x:c r="C12" s="17" t="n">
        <x:f>'02_統計比較'!F5</x:f>
        <x:v>25.663</x:v>
      </x:c>
      <x:c r="D12" s="17" t="n">
        <x:f>B12-C12</x:f>
        <x:v>0.03200000000000003</x:v>
      </x:c>
      <x:c r="E12" s="18" t="n">
        <x:f>IF(B12=0,0,D12/B12)</x:f>
        <x:v>0.001245378478303173</x:v>
      </x:c>
      <x:c r="F12" s="16" t="str">
        <x:v>全体：ばらつきに注意</x:v>
      </x:c>
    </x:row>
    <x:row r="14">
      <x:c r="A14" s="19" t="str">
        <x:v>結論</x:v>
      </x:c>
      <x:c r="B14" s="19"/>
      <x:c r="C14" s="19"/>
      <x:c r="D14" s="19"/>
      <x:c r="E14" s="19"/>
      <x:c r="F14" s="19"/>
    </x:row>
    <x:row r="15">
      <x:c r="A15" s="38" t="str">
        <x:v>局所カーネルでは、CG残差更新が13.77%、D†D combine部が30.92%短縮した。
一方、Main全体の平均短縮は0.43%で、10組のばらつきに対して十分大きくないため、全体高速化を断定しない。
融合ありはCG融合とD†D融合を同時に有効化した条件であり、個別寄与の分離には単独有効化実験が必要。</x:v>
      </x:c>
      <x:c r="B15" s="39"/>
      <x:c r="C15" s="39"/>
      <x:c r="D15" s="39"/>
      <x:c r="E15" s="39"/>
      <x:c r="F15" s="40"/>
    </x:row>
    <x:row r="16">
      <x:c r="A16" s="41"/>
      <x:c r="B16" s="42"/>
      <x:c r="C16" s="42"/>
      <x:c r="D16" s="42"/>
      <x:c r="E16" s="42"/>
      <x:c r="F16" s="43"/>
    </x:row>
    <x:row r="17">
      <x:c r="A17" s="41"/>
      <x:c r="B17" s="42"/>
      <x:c r="C17" s="42"/>
      <x:c r="D17" s="42"/>
      <x:c r="E17" s="42"/>
      <x:c r="F17" s="43"/>
    </x:row>
    <x:row r="18">
      <x:c r="A18" s="44"/>
      <x:c r="B18" s="45"/>
      <x:c r="C18" s="45"/>
      <x:c r="D18" s="45"/>
      <x:c r="E18" s="45"/>
      <x:c r="F18" s="46"/>
    </x:row>
    <x:row r="20">
      <x:c r="A20" s="49" t="str">
        <x:v>共通条件：富岳 A64FX、1ノード、MPI 4 × OpenMP 12、格子 8×8×8×8、各条件10回（交互順序のペア比較）</x:v>
      </x:c>
      <x:c r="B20" s="49"/>
      <x:c r="C20" s="49"/>
      <x:c r="D20" s="49"/>
      <x:c r="E20" s="49"/>
      <x:c r="F20" s="49"/>
    </x:row>
    <x:row r="22">
      <x:c r="H22" t="str">
        <x:v>測定項目</x:v>
      </x:c>
      <x:c r="I22" t="str">
        <x:v>短縮率</x:v>
      </x:c>
    </x:row>
    <x:row r="23">
      <x:c r="H23" t="str">
        <x:v>CG残差更新</x:v>
      </x:c>
      <x:c r="I23" t="n">
        <x:f>E5</x:f>
        <x:v>0.1377236960568419</x:v>
      </x:c>
    </x:row>
    <x:row r="24">
      <x:c r="H24" t="str">
        <x:v>CG全体</x:v>
      </x:c>
      <x:c r="I24" t="n">
        <x:f>E6</x:f>
        <x:v>0.006250295569260022</x:v>
      </x:c>
    </x:row>
    <x:row r="25">
      <x:c r="H25" t="str">
        <x:v>D†D combine</x:v>
      </x:c>
      <x:c r="I25" t="n">
        <x:f>E7</x:f>
        <x:v>0.3091771275694155</x:v>
      </x:c>
    </x:row>
    <x:row r="26">
      <x:c r="H26" t="str">
        <x:v>Main</x:v>
      </x:c>
      <x:c r="I26" t="n">
        <x:f>E11</x:f>
        <x:v>0.0043474517906335695</x:v>
      </x:c>
    </x:row>
  </x:sheetData>
  <x:mergeCells>
    <x:mergeCell ref="A1:N2"/>
    <x:mergeCell ref="A14:F14"/>
    <x:mergeCell ref="A15:F18"/>
    <x:mergeCell ref="A20:F20"/>
  </x:mergeCells>
  <x:conditionalFormatting sqref="E5:E12">
    <x:cfRule type="colorScale" priority="1">
      <x:colorScale>
        <x:cfvo type="min"/>
        <x:cfvo type="percentile" val="50"/>
        <x:cfvo type="max"/>
        <x:color rgb="FFFFFFFF"/>
        <x:color rgb="FFFFE699"/>
        <x:color rgb="FF70AD47"/>
      </x:colorScale>
    </x:cfRule>
  </x:conditionalFormatting>
  <x:pageMargins left="0.7" right="0.7" top="0.75" bottom="0.75" header="0.3" footer="0.3"/>
  <x:drawing xmlns:r="http://schemas.openxmlformats.org/officeDocument/2006/relationships" r:id="R9de841b613b64a6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2" customHeight="1">
      <x:c r="A1" s="7" t="str">
        <x:v>metric</x:v>
      </x:c>
      <x:c r="B1" s="7" t="str">
        <x:v>no_fusion_n</x:v>
      </x:c>
      <x:c r="C1" s="7" t="str">
        <x:v>no_fusion_mean</x:v>
      </x:c>
      <x:c r="D1" s="7" t="str">
        <x:v>no_fusion_stdev</x:v>
      </x:c>
      <x:c r="E1" s="7" t="str">
        <x:v>fusion_n</x:v>
      </x:c>
      <x:c r="F1" s="7" t="str">
        <x:v>fusion_mean</x:v>
      </x:c>
      <x:c r="G1" s="7" t="str">
        <x:v>fusion_stdev</x:v>
      </x:c>
      <x:c r="H1" s="7" t="str">
        <x:v>mean_difference_no_minus_fusion</x:v>
      </x:c>
      <x:c r="I1" s="7" t="str">
        <x:v>reduction_percent</x:v>
      </x:c>
      <x:c r="J1" s="7" t="str">
        <x:v>paired_difference_mean</x:v>
      </x:c>
      <x:c r="K1" t="str">
        <x:v>paired_difference_stdev</x:v>
      </x:c>
    </x:row>
    <x:row r="2">
      <x:c r="A2" s="8" t="str">
        <x:v>trajectory_sec</x:v>
      </x:c>
      <x:c r="B2" s="9" t="n">
        <x:v>10</x:v>
      </x:c>
      <x:c r="C2" s="9" t="n">
        <x:v>22.819</x:v>
      </x:c>
      <x:c r="D2" s="9" t="n">
        <x:v>0.16346593257</x:v>
      </x:c>
      <x:c r="E2" s="9" t="n">
        <x:v>10</x:v>
      </x:c>
      <x:c r="F2" s="9" t="n">
        <x:v>22.739</x:v>
      </x:c>
      <x:c r="G2" s="9" t="n">
        <x:v>0.223728506106</x:v>
      </x:c>
      <x:c r="H2" s="9" t="n">
        <x:v>0.08</x:v>
      </x:c>
      <x:c r="I2" s="9" t="n">
        <x:v>0.350585038783</x:v>
      </x:c>
      <x:c r="J2" s="9" t="n">
        <x:v>0.08</x:v>
      </x:c>
      <x:c r="K2" t="n">
        <x:v>0.303754286664</x:v>
      </x:c>
    </x:row>
    <x:row r="3">
      <x:c r="A3" s="8" t="str">
        <x:v>update_sec</x:v>
      </x:c>
      <x:c r="B3" s="9" t="n">
        <x:v>10</x:v>
      </x:c>
      <x:c r="C3" s="9" t="n">
        <x:v>22.928</x:v>
      </x:c>
      <x:c r="D3" s="9" t="n">
        <x:v>0.157395467957</x:v>
      </x:c>
      <x:c r="E3" s="9" t="n">
        <x:v>10</x:v>
      </x:c>
      <x:c r="F3" s="9" t="n">
        <x:v>22.846</x:v>
      </x:c>
      <x:c r="G3" s="9" t="n">
        <x:v>0.211565592666</x:v>
      </x:c>
      <x:c r="H3" s="9" t="n">
        <x:v>0.082</x:v>
      </x:c>
      <x:c r="I3" s="9" t="n">
        <x:v>0.357641311933</x:v>
      </x:c>
      <x:c r="J3" s="9" t="n">
        <x:v>0.082</x:v>
      </x:c>
      <x:c r="K3" t="n">
        <x:v>0.282205598811</x:v>
      </x:c>
    </x:row>
    <x:row r="4">
      <x:c r="A4" s="8" t="str">
        <x:v>main_sec</x:v>
      </x:c>
      <x:c r="B4" s="9" t="n">
        <x:v>10</x:v>
      </x:c>
      <x:c r="C4" s="9" t="n">
        <x:v>23.232</x:v>
      </x:c>
      <x:c r="D4" s="9" t="n">
        <x:v>0.209698195828</x:v>
      </x:c>
      <x:c r="E4" s="9" t="n">
        <x:v>10</x:v>
      </x:c>
      <x:c r="F4" s="9" t="n">
        <x:v>23.131</x:v>
      </x:c>
      <x:c r="G4" s="9" t="n">
        <x:v>0.226737733957</x:v>
      </x:c>
      <x:c r="H4" s="9" t="n">
        <x:v>0.101</x:v>
      </x:c>
      <x:c r="I4" s="9" t="n">
        <x:v>0.434745179063</x:v>
      </x:c>
      <x:c r="J4" s="9" t="n">
        <x:v>0.101</x:v>
      </x:c>
      <x:c r="K4" t="n">
        <x:v>0.349744351078</x:v>
      </x:c>
    </x:row>
    <x:row r="5">
      <x:c r="A5" s="8" t="str">
        <x:v>external_wall_sec</x:v>
      </x:c>
      <x:c r="B5" s="9" t="n">
        <x:v>10</x:v>
      </x:c>
      <x:c r="C5" s="9" t="n">
        <x:v>25.695</x:v>
      </x:c>
      <x:c r="D5" s="9" t="n">
        <x:v>0.374232548023</x:v>
      </x:c>
      <x:c r="E5" s="9" t="n">
        <x:v>10</x:v>
      </x:c>
      <x:c r="F5" s="9" t="n">
        <x:v>25.663</x:v>
      </x:c>
      <x:c r="G5" s="9" t="n">
        <x:v>0.475629407557</x:v>
      </x:c>
      <x:c r="H5" s="9" t="n">
        <x:v>0.032</x:v>
      </x:c>
      <x:c r="I5" s="9" t="n">
        <x:v>0.12453784783</x:v>
      </x:c>
      <x:c r="J5" s="9" t="n">
        <x:v>0.032</x:v>
      </x:c>
      <x:c r="K5" t="n">
        <x:v>0.458034448001</x:v>
      </x:c>
    </x:row>
    <x:row r="6">
      <x:c r="A6" s="8" t="str">
        <x:v>cg_iterations_total</x:v>
      </x:c>
      <x:c r="B6" s="9" t="n">
        <x:v>10</x:v>
      </x:c>
      <x:c r="C6" s="9" t="n">
        <x:v>5549</x:v>
      </x:c>
      <x:c r="D6" s="9" t="n">
        <x:v>0</x:v>
      </x:c>
      <x:c r="E6" s="9" t="n">
        <x:v>10</x:v>
      </x:c>
      <x:c r="F6" s="9" t="n">
        <x:v>5549</x:v>
      </x:c>
      <x:c r="G6" s="9" t="n">
        <x:v>0</x:v>
      </x:c>
      <x:c r="H6" s="9" t="n">
        <x:v>0</x:v>
      </x:c>
      <x:c r="I6" s="9" t="n">
        <x:v>0</x:v>
      </x:c>
      <x:c r="J6" s="9" t="n">
        <x:v>0</x:v>
      </x:c>
      <x:c r="K6" t="n">
        <x:v>0</x:v>
      </x:c>
    </x:row>
    <x:row r="7">
      <x:c r="A7" s="8" t="str">
        <x:v>cg_total_sec</x:v>
      </x:c>
      <x:c r="B7" s="9" t="n">
        <x:v>10</x:v>
      </x:c>
      <x:c r="C7" s="9" t="n">
        <x:v>5.71525223634</x:v>
      </x:c>
      <x:c r="D7" s="9" t="n">
        <x:v>0.00418742291294</x:v>
      </x:c>
      <x:c r="E7" s="9" t="n">
        <x:v>10</x:v>
      </x:c>
      <x:c r="F7" s="9" t="n">
        <x:v>5.67953022061</x:v>
      </x:c>
      <x:c r="G7" s="9" t="n">
        <x:v>0.0064701275602</x:v>
      </x:c>
      <x:c r="H7" s="9" t="n">
        <x:v>0.03572201573</x:v>
      </x:c>
      <x:c r="I7" s="9" t="n">
        <x:v>0.625029556926</x:v>
      </x:c>
      <x:c r="J7" s="9" t="n">
        <x:v>0.03572201573</x:v>
      </x:c>
      <x:c r="K7" t="n">
        <x:v>0.00686049289787</x:v>
      </x:c>
    </x:row>
    <x:row r="8">
      <x:c r="A8" s="8" t="str">
        <x:v>cg_steps_sec</x:v>
      </x:c>
      <x:c r="B8" s="9" t="n">
        <x:v>10</x:v>
      </x:c>
      <x:c r="C8" s="9" t="n">
        <x:v>5.62706456306</x:v>
      </x:c>
      <x:c r="D8" s="9" t="n">
        <x:v>0.00417970820238</x:v>
      </x:c>
      <x:c r="E8" s="9" t="n">
        <x:v>10</x:v>
      </x:c>
      <x:c r="F8" s="9" t="n">
        <x:v>5.59179154178</x:v>
      </x:c>
      <x:c r="G8" s="9" t="n">
        <x:v>0.00628747607833</x:v>
      </x:c>
      <x:c r="H8" s="9" t="n">
        <x:v>0.035273021286</x:v>
      </x:c>
      <x:c r="I8" s="9" t="n">
        <x:v>0.626845860585</x:v>
      </x:c>
      <x:c r="J8" s="9" t="n">
        <x:v>0.035273021286</x:v>
      </x:c>
      <x:c r="K8" t="n">
        <x:v>0.00659788054983</x:v>
      </x:c>
    </x:row>
    <x:row r="9">
      <x:c r="A9" s="8" t="str">
        <x:v>cg_residual_block_sec</x:v>
      </x:c>
      <x:c r="B9" s="9" t="n">
        <x:v>10</x:v>
      </x:c>
      <x:c r="C9" s="9" t="n">
        <x:v>0.104543979698</x:v>
      </x:c>
      <x:c r="D9" s="9" t="n">
        <x:v>0.000684183460558</x:v>
      </x:c>
      <x:c r="E9" s="9" t="n">
        <x:v>10</x:v>
      </x:c>
      <x:c r="F9" s="9" t="n">
        <x:v>0.0901457964135</x:v>
      </x:c>
      <x:c r="G9" s="9" t="n">
        <x:v>0.000391118873961</x:v>
      </x:c>
      <x:c r="H9" s="9" t="n">
        <x:v>0.0143981832847</x:v>
      </x:c>
      <x:c r="I9" s="9" t="n">
        <x:v>13.7723696059</x:v>
      </x:c>
      <x:c r="J9" s="9" t="n">
        <x:v>0.0143981832847</x:v>
      </x:c>
      <x:c r="K9" t="n">
        <x:v>0.000885429233595</x:v>
      </x:c>
    </x:row>
    <x:row r="10">
      <x:c r="A10" s="8" t="str">
        <x:v>cg_sp_total_sec</x:v>
      </x:c>
      <x:c r="B10" s="9" t="n">
        <x:v>10</x:v>
      </x:c>
      <x:c r="C10" s="9" t="n">
        <x:v>5.71525223634</x:v>
      </x:c>
      <x:c r="D10" s="9" t="n">
        <x:v>0.00418742291294</x:v>
      </x:c>
      <x:c r="E10" s="9" t="n">
        <x:v>10</x:v>
      </x:c>
      <x:c r="F10" s="9" t="n">
        <x:v>5.67953022061</x:v>
      </x:c>
      <x:c r="G10" s="9" t="n">
        <x:v>0.0064701275602</x:v>
      </x:c>
      <x:c r="H10" s="9" t="n">
        <x:v>0.03572201573</x:v>
      </x:c>
      <x:c r="I10" s="9" t="n">
        <x:v>0.625029556926</x:v>
      </x:c>
      <x:c r="J10" s="9" t="n">
        <x:v>0.03572201573</x:v>
      </x:c>
      <x:c r="K10" t="n">
        <x:v>0.00686049289787</x:v>
      </x:c>
    </x:row>
    <x:row r="11">
      <x:c r="A11" s="8" t="str">
        <x:v>cg_sp_residual_block_sec</x:v>
      </x:c>
      <x:c r="B11" s="9" t="n">
        <x:v>10</x:v>
      </x:c>
      <x:c r="C11" s="9" t="n">
        <x:v>0.104543979698</x:v>
      </x:c>
      <x:c r="D11" s="9" t="n">
        <x:v>0.000684183460558</x:v>
      </x:c>
      <x:c r="E11" s="9" t="n">
        <x:v>10</x:v>
      </x:c>
      <x:c r="F11" s="9" t="n">
        <x:v>0.0901457964135</x:v>
      </x:c>
      <x:c r="G11" s="9" t="n">
        <x:v>0.000391118873961</x:v>
      </x:c>
      <x:c r="H11" s="9" t="n">
        <x:v>0.0143981832847</x:v>
      </x:c>
      <x:c r="I11" s="9" t="n">
        <x:v>13.7723696059</x:v>
      </x:c>
      <x:c r="J11" s="9" t="n">
        <x:v>0.0143981832847</x:v>
      </x:c>
      <x:c r="K11" t="n">
        <x:v>0.000885429233595</x:v>
      </x:c>
    </x:row>
    <x:row r="12">
      <x:c r="A12" s="8" t="str">
        <x:v>cg_dp_total_sec</x:v>
      </x:c>
      <x:c r="B12" s="9" t="n">
        <x:v>10</x:v>
      </x:c>
      <x:c r="C12" s="9" t="n">
        <x:v>0</x:v>
      </x:c>
      <x:c r="D12" s="9" t="n">
        <x:v>0</x:v>
      </x:c>
      <x:c r="E12" s="9" t="n">
        <x:v>10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t="n">
        <x:v>0</x:v>
      </x:c>
    </x:row>
    <x:row r="13">
      <x:c r="A13" s="8" t="str">
        <x:v>cg_dp_residual_block_sec</x:v>
      </x:c>
      <x:c r="B13" s="9" t="n">
        <x:v>10</x:v>
      </x:c>
      <x:c r="C13" s="9" t="n">
        <x:v>0</x:v>
      </x:c>
      <x:c r="D13" s="9" t="n">
        <x:v>0</x:v>
      </x:c>
      <x:c r="E13" s="9" t="n">
        <x:v>10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t="n">
        <x:v>0</x:v>
      </x:c>
    </x:row>
    <x:row r="14">
      <x:c r="A14" s="8" t="str">
        <x:v>dagd_calls_total</x:v>
      </x:c>
      <x:c r="B14" s="9" t="n">
        <x:v>10</x:v>
      </x:c>
      <x:c r="C14" s="9" t="n">
        <x:v>7779</x:v>
      </x:c>
      <x:c r="D14" s="9" t="n">
        <x:v>0</x:v>
      </x:c>
      <x:c r="E14" s="9" t="n">
        <x:v>10</x:v>
      </x:c>
      <x:c r="F14" s="9" t="n">
        <x:v>7779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t="n">
        <x:v>0</x:v>
      </x:c>
    </x:row>
    <x:row r="15">
      <x:c r="A15" s="8" t="str">
        <x:v>dagd_total_sec</x:v>
      </x:c>
      <x:c r="B15" s="9" t="n">
        <x:v>10</x:v>
      </x:c>
      <x:c r="C15" s="9" t="n">
        <x:v>7.98789744321</x:v>
      </x:c>
      <x:c r="D15" s="9" t="n">
        <x:v>0.0549791376661</x:v>
      </x:c>
      <x:c r="E15" s="9" t="n">
        <x:v>10</x:v>
      </x:c>
      <x:c r="F15" s="9" t="n">
        <x:v>7.95587679458</x:v>
      </x:c>
      <x:c r="G15" s="9" t="n">
        <x:v>0.0965456419237</x:v>
      </x:c>
      <x:c r="H15" s="9" t="n">
        <x:v>0.032020648627</x:v>
      </x:c>
      <x:c r="I15" s="9" t="n">
        <x:v>0.400864543575</x:v>
      </x:c>
      <x:c r="J15" s="9" t="n">
        <x:v>0.032020648627</x:v>
      </x:c>
      <x:c r="K15" t="n">
        <x:v>0.119053277002</x:v>
      </x:c>
    </x:row>
    <x:row r="16">
      <x:c r="A16" s="8" t="str">
        <x:v>dagd_combine_sec</x:v>
      </x:c>
      <x:c r="B16" s="9" t="n">
        <x:v>10</x:v>
      </x:c>
      <x:c r="C16" s="9" t="n">
        <x:v>0.134884364082</x:v>
      </x:c>
      <x:c r="D16" s="9" t="n">
        <x:v>0.00326485256147</x:v>
      </x:c>
      <x:c r="E16" s="9" t="n">
        <x:v>10</x:v>
      </x:c>
      <x:c r="F16" s="9" t="n">
        <x:v>0.0931812038411</x:v>
      </x:c>
      <x:c r="G16" s="9" t="n">
        <x:v>0.000863907278888</x:v>
      </x:c>
      <x:c r="H16" s="9" t="n">
        <x:v>0.0417031602405</x:v>
      </x:c>
      <x:c r="I16" s="9" t="n">
        <x:v>30.9177127567</x:v>
      </x:c>
      <x:c r="J16" s="9" t="n">
        <x:v>0.0417031602405</x:v>
      </x:c>
      <x:c r="K16" t="n">
        <x:v>0.00322239771623</x:v>
      </x:c>
    </x:row>
    <x:row r="17">
      <x:c r="A17" s="8" t="str">
        <x:v>dagd_sp_total_sec</x:v>
      </x:c>
      <x:c r="B17" s="9" t="n">
        <x:v>10</x:v>
      </x:c>
      <x:c r="C17" s="9" t="n">
        <x:v>5.45188213196</x:v>
      </x:c>
      <x:c r="D17" s="9" t="n">
        <x:v>0.00427758070946</x:v>
      </x:c>
      <x:c r="E17" s="9" t="n">
        <x:v>10</x:v>
      </x:c>
      <x:c r="F17" s="9" t="n">
        <x:v>5.43175599346</x:v>
      </x:c>
      <x:c r="G17" s="9" t="n">
        <x:v>0.00537280563187</x:v>
      </x:c>
      <x:c r="H17" s="9" t="n">
        <x:v>0.020126138494</x:v>
      </x:c>
      <x:c r="I17" s="9" t="n">
        <x:v>0.369159457356</x:v>
      </x:c>
      <x:c r="J17" s="9" t="n">
        <x:v>0.020126138494</x:v>
      </x:c>
      <x:c r="K17" t="n">
        <x:v>0.00587709806431</x:v>
      </x:c>
    </x:row>
    <x:row r="18">
      <x:c r="A18" s="8" t="str">
        <x:v>dagd_sp_combine_sec</x:v>
      </x:c>
      <x:c r="B18" s="9" t="n">
        <x:v>10</x:v>
      </x:c>
      <x:c r="C18" s="9" t="n">
        <x:v>0.0749425760375</x:v>
      </x:c>
      <x:c r="D18" s="9" t="n">
        <x:v>0.00228418029755</x:v>
      </x:c>
      <x:c r="E18" s="9" t="n">
        <x:v>10</x:v>
      </x:c>
      <x:c r="F18" s="9" t="n">
        <x:v>0.050595302332</x:v>
      </x:c>
      <x:c r="G18" s="9" t="n">
        <x:v>0.000978670086375</x:v>
      </x:c>
      <x:c r="H18" s="9" t="n">
        <x:v>0.0243472737055</x:v>
      </x:c>
      <x:c r="I18" s="9" t="n">
        <x:v>32.4879060647</x:v>
      </x:c>
      <x:c r="J18" s="9" t="n">
        <x:v>0.0243472737055</x:v>
      </x:c>
      <x:c r="K18" t="n">
        <x:v>0.00230349099748</x:v>
      </x:c>
    </x:row>
    <x:row r="19">
      <x:c r="A19" s="8" t="str">
        <x:v>dagd_dp_total_sec</x:v>
      </x:c>
      <x:c r="B19" s="9" t="n">
        <x:v>10</x:v>
      </x:c>
      <x:c r="C19" s="9" t="n">
        <x:v>2.53601531125</x:v>
      </x:c>
      <x:c r="D19" s="9" t="n">
        <x:v>0.0573804368486</x:v>
      </x:c>
      <x:c r="E19" s="9" t="n">
        <x:v>10</x:v>
      </x:c>
      <x:c r="F19" s="9" t="n">
        <x:v>2.52412080112</x:v>
      </x:c>
      <x:c r="G19" s="9" t="n">
        <x:v>0.0927590321217</x:v>
      </x:c>
      <x:c r="H19" s="9" t="n">
        <x:v>0.011894510133</x:v>
      </x:c>
      <x:c r="I19" s="9" t="n">
        <x:v>0.469023593045</x:v>
      </x:c>
      <x:c r="J19" s="9" t="n">
        <x:v>0.011894510133</x:v>
      </x:c>
      <x:c r="K19" t="n">
        <x:v>0.117484054066</x:v>
      </x:c>
    </x:row>
    <x:row r="20">
      <x:c r="A20" s="8" t="str">
        <x:v>dagd_dp_combine_sec</x:v>
      </x:c>
      <x:c r="B20" s="9" t="n">
        <x:v>10</x:v>
      </x:c>
      <x:c r="C20" s="9" t="n">
        <x:v>0.0599417880441</x:v>
      </x:c>
      <x:c r="D20" s="9" t="n">
        <x:v>0.00145326975731</x:v>
      </x:c>
      <x:c r="E20" s="9" t="n">
        <x:v>10</x:v>
      </x:c>
      <x:c r="F20" s="9" t="n">
        <x:v>0.0425859015091</x:v>
      </x:c>
      <x:c r="G20" s="9" t="n">
        <x:v>0.000781537015092</x:v>
      </x:c>
      <x:c r="H20" s="9" t="n">
        <x:v>0.017355886535</x:v>
      </x:c>
      <x:c r="I20" s="9" t="n">
        <x:v>28.9545692601</x:v>
      </x:c>
      <x:c r="J20" s="9" t="n">
        <x:v>0.017355886535</x:v>
      </x:c>
      <x:c r="K20" t="n">
        <x:v>0.00148865809266</x:v>
      </x:c>
    </x:row>
    <x:row r="21">
      <x:c r="A21" s="8" t="str">
        <x:v>h_diff</x:v>
      </x:c>
      <x:c r="B21" s="9" t="n">
        <x:v>10</x:v>
      </x:c>
      <x:c r="C21" s="9" t="n">
        <x:v>0.00083995</x:v>
      </x:c>
      <x:c r="D21" s="9" t="n">
        <x:v>0</x:v>
      </x:c>
      <x:c r="E21" s="9" t="n">
        <x:v>10</x:v>
      </x:c>
      <x:c r="F21" s="9" t="n">
        <x:v>0.00083995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</x:cols>
  <x:sheetData>
    <x:row r="1">
      <x:c r="A1" s="10" t="str">
        <x:v>pair</x:v>
      </x:c>
      <x:c r="B1" s="10" t="str">
        <x:v>job_id</x:v>
      </x:c>
      <x:c r="C1" s="10" t="str">
        <x:v>variant</x:v>
      </x:c>
      <x:c r="D1" s="10" t="str">
        <x:v>order_position</x:v>
      </x:c>
      <x:c r="E1" s="10" t="str">
        <x:v>exit_code</x:v>
      </x:c>
      <x:c r="F1" s="10" t="str">
        <x:v>h_diff</x:v>
      </x:c>
      <x:c r="G1" s="10" t="str">
        <x:v>trajectory_sec</x:v>
      </x:c>
      <x:c r="H1" s="10" t="str">
        <x:v>update_sec</x:v>
      </x:c>
      <x:c r="I1" s="10" t="str">
        <x:v>main_sec</x:v>
      </x:c>
      <x:c r="J1" s="10" t="str">
        <x:v>external_wall_sec</x:v>
      </x:c>
      <x:c r="K1" s="10" t="str">
        <x:v>cg_records</x:v>
      </x:c>
      <x:c r="L1" s="10" t="str">
        <x:v>cg_iterations_total</x:v>
      </x:c>
      <x:c r="M1" s="10" t="str">
        <x:v>cg_total_sec</x:v>
      </x:c>
      <x:c r="N1" s="10" t="str">
        <x:v>cg_steps_sec</x:v>
      </x:c>
      <x:c r="O1" s="10" t="str">
        <x:v>cg_residual_block_sec</x:v>
      </x:c>
      <x:c r="P1" s="10" t="str">
        <x:v>dagd_records</x:v>
      </x:c>
      <x:c r="Q1" s="10" t="str">
        <x:v>dagd_calls_total</x:v>
      </x:c>
      <x:c r="R1" s="10" t="str">
        <x:v>dagd_total_sec</x:v>
      </x:c>
      <x:c r="S1" s="10" t="str">
        <x:v>dagd_d_combine_sec</x:v>
      </x:c>
      <x:c r="T1" s="10" t="str">
        <x:v>dagd_ddag_combine_sec</x:v>
      </x:c>
      <x:c r="U1" s="10" t="str">
        <x:v>dagd_combine_sec</x:v>
      </x:c>
      <x:c r="V1" s="10" t="str">
        <x:v>cg_sp_records</x:v>
      </x:c>
      <x:c r="W1" s="10" t="str">
        <x:v>cg_sp_iterations_total</x:v>
      </x:c>
      <x:c r="X1" s="10" t="str">
        <x:v>cg_sp_total_sec</x:v>
      </x:c>
      <x:c r="Y1" s="10" t="str">
        <x:v>cg_sp_residual_block_sec</x:v>
      </x:c>
      <x:c r="Z1" s="10" t="str">
        <x:v>dagd_sp_records</x:v>
      </x:c>
      <x:c r="AA1" s="10" t="str">
        <x:v>dagd_sp_calls_total</x:v>
      </x:c>
      <x:c r="AB1" s="10" t="str">
        <x:v>dagd_sp_total_sec</x:v>
      </x:c>
      <x:c r="AC1" s="10" t="str">
        <x:v>dagd_sp_combine_sec</x:v>
      </x:c>
      <x:c r="AD1" s="10" t="str">
        <x:v>cg_dp_records</x:v>
      </x:c>
      <x:c r="AE1" s="10" t="str">
        <x:v>cg_dp_iterations_total</x:v>
      </x:c>
      <x:c r="AF1" s="10" t="str">
        <x:v>cg_dp_total_sec</x:v>
      </x:c>
      <x:c r="AG1" s="10" t="str">
        <x:v>cg_dp_residual_block_sec</x:v>
      </x:c>
      <x:c r="AH1" s="10" t="str">
        <x:v>dagd_dp_records</x:v>
      </x:c>
      <x:c r="AI1" s="10" t="str">
        <x:v>dagd_dp_calls_total</x:v>
      </x:c>
      <x:c r="AJ1" s="10" t="str">
        <x:v>dagd_dp_total_sec</x:v>
      </x:c>
      <x:c r="AK1" s="10" t="str">
        <x:v>dagd_dp_combine_sec</x:v>
      </x:c>
    </x:row>
    <x:row r="2">
      <x:c r="A2" s="12" t="str">
        <x:v>pair01</x:v>
      </x:c>
      <x:c r="B2" s="12" t="n">
        <x:v>50872185</x:v>
      </x:c>
      <x:c r="C2" s="12" t="str">
        <x:v>no_fusion</x:v>
      </x:c>
      <x:c r="D2" s="12" t="n">
        <x:v>1</x:v>
      </x:c>
      <x:c r="E2" s="12" t="n">
        <x:v>0</x:v>
      </x:c>
      <x:c r="F2" s="12" t="n">
        <x:v>0.00083995</x:v>
      </x:c>
      <x:c r="G2" s="12" t="n">
        <x:v>22.6</x:v>
      </x:c>
      <x:c r="H2" s="12" t="n">
        <x:v>22.72</x:v>
      </x:c>
      <x:c r="I2" s="12" t="n">
        <x:v>22.94</x:v>
      </x:c>
      <x:c r="J2" s="12" t="n">
        <x:v>26.09</x:v>
      </x:c>
      <x:c r="K2" s="12" t="n">
        <x:v>80</x:v>
      </x:c>
      <x:c r="L2" s="12" t="n">
        <x:v>5549</x:v>
      </x:c>
      <x:c r="M2" s="12" t="n">
        <x:v>5.71993876868</x:v>
      </x:c>
      <x:c r="N2" s="12" t="n">
        <x:v>5.63175038318</x:v>
      </x:c>
      <x:c r="O2" s="12" t="n">
        <x:v>0.105711971926</x:v>
      </x:c>
      <x:c r="P2" s="12" t="n">
        <x:v>12</x:v>
      </x:c>
      <x:c r="Q2" s="12" t="n">
        <x:v>7779</x:v>
      </x:c>
      <x:c r="R2" s="12" t="n">
        <x:v>7.92889349183</x:v>
      </x:c>
      <x:c r="S2" s="12" t="n">
        <x:v>0.061369311546</x:v>
      </x:c>
      <x:c r="T2" s="12" t="n">
        <x:v>0.071404974254</x:v>
      </x:c>
      <x:c r="U2" s="12" t="n">
        <x:v>0.132774285799</x:v>
      </x:c>
      <x:c r="V2" s="12" t="n">
        <x:v>80</x:v>
      </x:c>
      <x:c r="W2" s="12" t="n">
        <x:v>5549</x:v>
      </x:c>
      <x:c r="X2" s="12" t="n">
        <x:v>5.71993876868</x:v>
      </x:c>
      <x:c r="Y2" s="12" t="n">
        <x:v>0.105711971926</x:v>
      </x:c>
      <x:c r="Z2" s="12" t="n">
        <x:v>5</x:v>
      </x:c>
      <x:c r="AA2" s="12" t="n">
        <x:v>5629</x:v>
      </x:c>
      <x:c r="AB2" s="12" t="n">
        <x:v>5.45683444704</x:v>
      </x:c>
      <x:c r="AC2" s="12" t="n">
        <x:v>0.0738424033168</x:v>
      </x:c>
      <x:c r="AD2" s="12" t="n">
        <x:v>0</x:v>
      </x:c>
      <x:c r="AE2" s="12" t="n">
        <x:v>0</x:v>
      </x:c>
      <x:c r="AF2" s="12" t="n">
        <x:v>0</x:v>
      </x:c>
      <x:c r="AG2" s="12" t="n">
        <x:v>0</x:v>
      </x:c>
      <x:c r="AH2" s="12" t="n">
        <x:v>7</x:v>
      </x:c>
      <x:c r="AI2" s="12" t="n">
        <x:v>2150</x:v>
      </x:c>
      <x:c r="AJ2" s="12" t="n">
        <x:v>2.47205904479</x:v>
      </x:c>
      <x:c r="AK2" s="12" t="n">
        <x:v>0.0589318824819</x:v>
      </x:c>
    </x:row>
    <x:row r="3">
      <x:c r="A3" s="12" t="str">
        <x:v>pair01</x:v>
      </x:c>
      <x:c r="B3" s="12" t="n">
        <x:v>50872185</x:v>
      </x:c>
      <x:c r="C3" s="12" t="str">
        <x:v>fusion</x:v>
      </x:c>
      <x:c r="D3" s="12" t="n">
        <x:v>2</x:v>
      </x:c>
      <x:c r="E3" s="12" t="n">
        <x:v>0</x:v>
      </x:c>
      <x:c r="F3" s="12" t="n">
        <x:v>0.00083995</x:v>
      </x:c>
      <x:c r="G3" s="12" t="n">
        <x:v>22.82</x:v>
      </x:c>
      <x:c r="H3" s="12" t="n">
        <x:v>22.92</x:v>
      </x:c>
      <x:c r="I3" s="12" t="n">
        <x:v>23.29</x:v>
      </x:c>
      <x:c r="J3" s="12" t="n">
        <x:v>25.49</x:v>
      </x:c>
      <x:c r="K3" s="12" t="n">
        <x:v>80</x:v>
      </x:c>
      <x:c r="L3" s="12" t="n">
        <x:v>5549</x:v>
      </x:c>
      <x:c r="M3" s="12" t="n">
        <x:v>5.67405098666</x:v>
      </x:c>
      <x:c r="N3" s="12" t="n">
        <x:v>5.58684828657</x:v>
      </x:c>
      <x:c r="O3" s="12" t="n">
        <x:v>0.089947445285</x:v>
      </x:c>
      <x:c r="P3" s="12" t="n">
        <x:v>12</x:v>
      </x:c>
      <x:c r="Q3" s="12" t="n">
        <x:v>7779</x:v>
      </x:c>
      <x:c r="R3" s="12" t="n">
        <x:v>7.9232077429</x:v>
      </x:c>
      <x:c r="S3" s="12" t="n">
        <x:v>0.0426556197105</x:v>
      </x:c>
      <x:c r="T3" s="12" t="n">
        <x:v>0.0495943668491</x:v>
      </x:c>
      <x:c r="U3" s="12" t="n">
        <x:v>0.0922499865626</x:v>
      </x:c>
      <x:c r="V3" s="12" t="n">
        <x:v>80</x:v>
      </x:c>
      <x:c r="W3" s="12" t="n">
        <x:v>5549</x:v>
      </x:c>
      <x:c r="X3" s="12" t="n">
        <x:v>5.67405098666</x:v>
      </x:c>
      <x:c r="Y3" s="12" t="n">
        <x:v>0.089947445285</x:v>
      </x:c>
      <x:c r="Z3" s="12" t="n">
        <x:v>5</x:v>
      </x:c>
      <x:c r="AA3" s="12" t="n">
        <x:v>5629</x:v>
      </x:c>
      <x:c r="AB3" s="12" t="n">
        <x:v>5.42829475905</x:v>
      </x:c>
      <x:c r="AC3" s="12" t="n">
        <x:v>0.0497170486599</x:v>
      </x:c>
      <x:c r="AD3" s="12" t="n">
        <x:v>0</x:v>
      </x:c>
      <x:c r="AE3" s="12" t="n">
        <x:v>0</x:v>
      </x:c>
      <x:c r="AF3" s="12" t="n">
        <x:v>0</x:v>
      </x:c>
      <x:c r="AG3" s="12" t="n">
        <x:v>0</x:v>
      </x:c>
      <x:c r="AH3" s="12" t="n">
        <x:v>7</x:v>
      </x:c>
      <x:c r="AI3" s="12" t="n">
        <x:v>2150</x:v>
      </x:c>
      <x:c r="AJ3" s="12" t="n">
        <x:v>2.49491298385</x:v>
      </x:c>
      <x:c r="AK3" s="12" t="n">
        <x:v>0.0425329379027</x:v>
      </x:c>
    </x:row>
    <x:row r="4">
      <x:c r="A4" s="12" t="str">
        <x:v>pair02</x:v>
      </x:c>
      <x:c r="B4" s="12" t="n">
        <x:v>50872187</x:v>
      </x:c>
      <x:c r="C4" s="12" t="str">
        <x:v>no_fusion</x:v>
      </x:c>
      <x:c r="D4" s="12" t="n">
        <x:v>2</x:v>
      </x:c>
      <x:c r="E4" s="12" t="n">
        <x:v>0</x:v>
      </x:c>
      <x:c r="F4" s="12" t="n">
        <x:v>0.00083995</x:v>
      </x:c>
      <x:c r="G4" s="12" t="n">
        <x:v>22.9</x:v>
      </x:c>
      <x:c r="H4" s="12" t="n">
        <x:v>23</x:v>
      </x:c>
      <x:c r="I4" s="12" t="n">
        <x:v>23.28</x:v>
      </x:c>
      <x:c r="J4" s="12" t="n">
        <x:v>25.58</x:v>
      </x:c>
      <x:c r="K4" s="12" t="n">
        <x:v>80</x:v>
      </x:c>
      <x:c r="L4" s="12" t="n">
        <x:v>5549</x:v>
      </x:c>
      <x:c r="M4" s="12" t="n">
        <x:v>5.70659602293</x:v>
      </x:c>
      <x:c r="N4" s="12" t="n">
        <x:v>5.61838359373</x:v>
      </x:c>
      <x:c r="O4" s="12" t="n">
        <x:v>0.104971923158</x:v>
      </x:c>
      <x:c r="P4" s="12" t="n">
        <x:v>12</x:v>
      </x:c>
      <x:c r="Q4" s="12" t="n">
        <x:v>7779</x:v>
      </x:c>
      <x:c r="R4" s="12" t="n">
        <x:v>8.01328003714</x:v>
      </x:c>
      <x:c r="S4" s="12" t="n">
        <x:v>0.0675455696216</x:v>
      </x:c>
      <x:c r="T4" s="12" t="n">
        <x:v>0.0728463101007</x:v>
      </x:c>
      <x:c r="U4" s="12" t="n">
        <x:v>0.140391879713</x:v>
      </x:c>
      <x:c r="V4" s="12" t="n">
        <x:v>80</x:v>
      </x:c>
      <x:c r="W4" s="12" t="n">
        <x:v>5549</x:v>
      </x:c>
      <x:c r="X4" s="12" t="n">
        <x:v>5.70659602293</x:v>
      </x:c>
      <x:c r="Y4" s="12" t="n">
        <x:v>0.104971923158</x:v>
      </x:c>
      <x:c r="Z4" s="12" t="n">
        <x:v>5</x:v>
      </x:c>
      <x:c r="AA4" s="12" t="n">
        <x:v>5629</x:v>
      </x:c>
      <x:c r="AB4" s="12" t="n">
        <x:v>5.44149638785</x:v>
      </x:c>
      <x:c r="AC4" s="12" t="n">
        <x:v>0.0778650471513</x:v>
      </x:c>
      <x:c r="AD4" s="12" t="n">
        <x:v>0</x:v>
      </x:c>
      <x:c r="AE4" s="12" t="n">
        <x:v>0</x:v>
      </x:c>
      <x:c r="AF4" s="12" t="n">
        <x:v>0</x:v>
      </x:c>
      <x:c r="AG4" s="12" t="n">
        <x:v>0</x:v>
      </x:c>
      <x:c r="AH4" s="12" t="n">
        <x:v>7</x:v>
      </x:c>
      <x:c r="AI4" s="12" t="n">
        <x:v>2150</x:v>
      </x:c>
      <x:c r="AJ4" s="12" t="n">
        <x:v>2.57178364928</x:v>
      </x:c>
      <x:c r="AK4" s="12" t="n">
        <x:v>0.0625268325618</x:v>
      </x:c>
    </x:row>
    <x:row r="5">
      <x:c r="A5" s="12" t="str">
        <x:v>pair02</x:v>
      </x:c>
      <x:c r="B5" s="12" t="n">
        <x:v>50872187</x:v>
      </x:c>
      <x:c r="C5" s="12" t="str">
        <x:v>fusion</x:v>
      </x:c>
      <x:c r="D5" s="12" t="n">
        <x:v>1</x:v>
      </x:c>
      <x:c r="E5" s="12" t="n">
        <x:v>0</x:v>
      </x:c>
      <x:c r="F5" s="12" t="n">
        <x:v>0.00083995</x:v>
      </x:c>
      <x:c r="G5" s="12" t="n">
        <x:v>22.56</x:v>
      </x:c>
      <x:c r="H5" s="12" t="n">
        <x:v>22.69</x:v>
      </x:c>
      <x:c r="I5" s="12" t="n">
        <x:v>22.91</x:v>
      </x:c>
      <x:c r="J5" s="12" t="n">
        <x:v>26.05</x:v>
      </x:c>
      <x:c r="K5" s="12" t="n">
        <x:v>80</x:v>
      </x:c>
      <x:c r="L5" s="12" t="n">
        <x:v>5549</x:v>
      </x:c>
      <x:c r="M5" s="12" t="n">
        <x:v>5.67011985716</x:v>
      </x:c>
      <x:c r="N5" s="12" t="n">
        <x:v>5.58248803159</x:v>
      </x:c>
      <x:c r="O5" s="12" t="n">
        <x:v>0.0900412035507</x:v>
      </x:c>
      <x:c r="P5" s="12" t="n">
        <x:v>12</x:v>
      </x:c>
      <x:c r="Q5" s="12" t="n">
        <x:v>7779</x:v>
      </x:c>
      <x:c r="R5" s="12" t="n">
        <x:v>7.87955682904</x:v>
      </x:c>
      <x:c r="S5" s="12" t="n">
        <x:v>0.0428256652443</x:v>
      </x:c>
      <x:c r="T5" s="12" t="n">
        <x:v>0.048960382557</x:v>
      </x:c>
      <x:c r="U5" s="12" t="n">
        <x:v>0.0917860477883</x:v>
      </x:c>
      <x:c r="V5" s="12" t="n">
        <x:v>80</x:v>
      </x:c>
      <x:c r="W5" s="12" t="n">
        <x:v>5549</x:v>
      </x:c>
      <x:c r="X5" s="12" t="n">
        <x:v>5.67011985716</x:v>
      </x:c>
      <x:c r="Y5" s="12" t="n">
        <x:v>0.0900412035507</x:v>
      </x:c>
      <x:c r="Z5" s="12" t="n">
        <x:v>5</x:v>
      </x:c>
      <x:c r="AA5" s="12" t="n">
        <x:v>5629</x:v>
      </x:c>
      <x:c r="AB5" s="12" t="n">
        <x:v>5.4240077381</x:v>
      </x:c>
      <x:c r="AC5" s="12" t="n">
        <x:v>0.0489533106846</x:v>
      </x:c>
      <x:c r="AD5" s="12" t="n">
        <x:v>0</x:v>
      </x:c>
      <x:c r="AE5" s="12" t="n">
        <x:v>0</x:v>
      </x:c>
      <x:c r="AF5" s="12" t="n">
        <x:v>0</x:v>
      </x:c>
      <x:c r="AG5" s="12" t="n">
        <x:v>0</x:v>
      </x:c>
      <x:c r="AH5" s="12" t="n">
        <x:v>7</x:v>
      </x:c>
      <x:c r="AI5" s="12" t="n">
        <x:v>2150</x:v>
      </x:c>
      <x:c r="AJ5" s="12" t="n">
        <x:v>2.45554909094</x:v>
      </x:c>
      <x:c r="AK5" s="12" t="n">
        <x:v>0.0428327371037</x:v>
      </x:c>
    </x:row>
    <x:row r="6">
      <x:c r="A6" s="12" t="str">
        <x:v>pair03</x:v>
      </x:c>
      <x:c r="B6" s="12" t="n">
        <x:v>50872190</x:v>
      </x:c>
      <x:c r="C6" s="12" t="str">
        <x:v>no_fusion</x:v>
      </x:c>
      <x:c r="D6" s="12" t="n">
        <x:v>1</x:v>
      </x:c>
      <x:c r="E6" s="12" t="n">
        <x:v>0</x:v>
      </x:c>
      <x:c r="F6" s="12" t="n">
        <x:v>0.00083995</x:v>
      </x:c>
      <x:c r="G6" s="12" t="n">
        <x:v>22.6</x:v>
      </x:c>
      <x:c r="H6" s="12" t="n">
        <x:v>22.73</x:v>
      </x:c>
      <x:c r="I6" s="12" t="n">
        <x:v>22.95</x:v>
      </x:c>
      <x:c r="J6" s="12" t="n">
        <x:v>26.18</x:v>
      </x:c>
      <x:c r="K6" s="12" t="n">
        <x:v>80</x:v>
      </x:c>
      <x:c r="L6" s="12" t="n">
        <x:v>5549</x:v>
      </x:c>
      <x:c r="M6" s="12" t="n">
        <x:v>5.71987100331</x:v>
      </x:c>
      <x:c r="N6" s="12" t="n">
        <x:v>5.63149420589</x:v>
      </x:c>
      <x:c r="O6" s="12" t="n">
        <x:v>0.104970801128</x:v>
      </x:c>
      <x:c r="P6" s="12" t="n">
        <x:v>12</x:v>
      </x:c>
      <x:c r="Q6" s="12" t="n">
        <x:v>7779</x:v>
      </x:c>
      <x:c r="R6" s="12" t="n">
        <x:v>7.92754413982</x:v>
      </x:c>
      <x:c r="S6" s="12" t="n">
        <x:v>0.0629716607315</x:v>
      </x:c>
      <x:c r="T6" s="12" t="n">
        <x:v>0.0680717451828</x:v>
      </x:c>
      <x:c r="U6" s="12" t="n">
        <x:v>0.131043405922</x:v>
      </x:c>
      <x:c r="V6" s="12" t="n">
        <x:v>80</x:v>
      </x:c>
      <x:c r="W6" s="12" t="n">
        <x:v>5549</x:v>
      </x:c>
      <x:c r="X6" s="12" t="n">
        <x:v>5.71987100331</x:v>
      </x:c>
      <x:c r="Y6" s="12" t="n">
        <x:v>0.104970801128</x:v>
      </x:c>
      <x:c r="Z6" s="12" t="n">
        <x:v>5</x:v>
      </x:c>
      <x:c r="AA6" s="12" t="n">
        <x:v>5629</x:v>
      </x:c>
      <x:c r="AB6" s="12" t="n">
        <x:v>5.45468152622</x:v>
      </x:c>
      <x:c r="AC6" s="12" t="n">
        <x:v>0.0740351359145</x:v>
      </x:c>
      <x:c r="AD6" s="12" t="n">
        <x:v>0</x:v>
      </x:c>
      <x:c r="AE6" s="12" t="n">
        <x:v>0</x:v>
      </x:c>
      <x:c r="AF6" s="12" t="n">
        <x:v>0</x:v>
      </x:c>
      <x:c r="AG6" s="12" t="n">
        <x:v>0</x:v>
      </x:c>
      <x:c r="AH6" s="12" t="n">
        <x:v>7</x:v>
      </x:c>
      <x:c r="AI6" s="12" t="n">
        <x:v>2150</x:v>
      </x:c>
      <x:c r="AJ6" s="12" t="n">
        <x:v>2.4728626136</x:v>
      </x:c>
      <x:c r="AK6" s="12" t="n">
        <x:v>0.0570082700074</x:v>
      </x:c>
    </x:row>
    <x:row r="7">
      <x:c r="A7" s="12" t="str">
        <x:v>pair03</x:v>
      </x:c>
      <x:c r="B7" s="12" t="n">
        <x:v>50872190</x:v>
      </x:c>
      <x:c r="C7" s="12" t="str">
        <x:v>fusion</x:v>
      </x:c>
      <x:c r="D7" s="12" t="n">
        <x:v>2</x:v>
      </x:c>
      <x:c r="E7" s="12" t="n">
        <x:v>0</x:v>
      </x:c>
      <x:c r="F7" s="12" t="n">
        <x:v>0.00083995</x:v>
      </x:c>
      <x:c r="G7" s="12" t="n">
        <x:v>22.81</x:v>
      </x:c>
      <x:c r="H7" s="12" t="n">
        <x:v>22.91</x:v>
      </x:c>
      <x:c r="I7" s="12" t="n">
        <x:v>23.21</x:v>
      </x:c>
      <x:c r="J7" s="12" t="n">
        <x:v>25.63</x:v>
      </x:c>
      <x:c r="K7" s="12" t="n">
        <x:v>80</x:v>
      </x:c>
      <x:c r="L7" s="12" t="n">
        <x:v>5549</x:v>
      </x:c>
      <x:c r="M7" s="12" t="n">
        <x:v>5.68892354875</x:v>
      </x:c>
      <x:c r="N7" s="12" t="n">
        <x:v>5.60106883697</x:v>
      </x:c>
      <x:c r="O7" s="12" t="n">
        <x:v>0.0898107261027</x:v>
      </x:c>
      <x:c r="P7" s="12" t="n">
        <x:v>12</x:v>
      </x:c>
      <x:c r="Q7" s="12" t="n">
        <x:v>7779</x:v>
      </x:c>
      <x:c r="R7" s="12" t="n">
        <x:v>8.01140218157</x:v>
      </x:c>
      <x:c r="S7" s="12" t="n">
        <x:v>0.0442416986504</x:v>
      </x:c>
      <x:c r="T7" s="12" t="n">
        <x:v>0.0488406320875</x:v>
      </x:c>
      <x:c r="U7" s="12" t="n">
        <x:v>0.0930823307503</x:v>
      </x:c>
      <x:c r="V7" s="12" t="n">
        <x:v>80</x:v>
      </x:c>
      <x:c r="W7" s="12" t="n">
        <x:v>5549</x:v>
      </x:c>
      <x:c r="X7" s="12" t="n">
        <x:v>5.68892354875</x:v>
      </x:c>
      <x:c r="Y7" s="12" t="n">
        <x:v>0.0898107261027</x:v>
      </x:c>
      <x:c r="Z7" s="12" t="n">
        <x:v>5</x:v>
      </x:c>
      <x:c r="AA7" s="12" t="n">
        <x:v>5629</x:v>
      </x:c>
      <x:c r="AB7" s="12" t="n">
        <x:v>5.43960547511</x:v>
      </x:c>
      <x:c r="AC7" s="12" t="n">
        <x:v>0.0511337606593</x:v>
      </x:c>
      <x:c r="AD7" s="12" t="n">
        <x:v>0</x:v>
      </x:c>
      <x:c r="AE7" s="12" t="n">
        <x:v>0</x:v>
      </x:c>
      <x:c r="AF7" s="12" t="n">
        <x:v>0</x:v>
      </x:c>
      <x:c r="AG7" s="12" t="n">
        <x:v>0</x:v>
      </x:c>
      <x:c r="AH7" s="12" t="n">
        <x:v>7</x:v>
      </x:c>
      <x:c r="AI7" s="12" t="n">
        <x:v>2150</x:v>
      </x:c>
      <x:c r="AJ7" s="12" t="n">
        <x:v>2.57179670646</x:v>
      </x:c>
      <x:c r="AK7" s="12" t="n">
        <x:v>0.041948570091</x:v>
      </x:c>
    </x:row>
    <x:row r="8">
      <x:c r="A8" s="12" t="str">
        <x:v>pair04</x:v>
      </x:c>
      <x:c r="B8" s="12" t="n">
        <x:v>50872191</x:v>
      </x:c>
      <x:c r="C8" s="12" t="str">
        <x:v>no_fusion</x:v>
      </x:c>
      <x:c r="D8" s="12" t="n">
        <x:v>2</x:v>
      </x:c>
      <x:c r="E8" s="12" t="n">
        <x:v>0</x:v>
      </x:c>
      <x:c r="F8" s="12" t="n">
        <x:v>0.00083995</x:v>
      </x:c>
      <x:c r="G8" s="12" t="n">
        <x:v>22.99</x:v>
      </x:c>
      <x:c r="H8" s="12" t="n">
        <x:v>23.08</x:v>
      </x:c>
      <x:c r="I8" s="12" t="n">
        <x:v>23.39</x:v>
      </x:c>
      <x:c r="J8" s="12" t="n">
        <x:v>25.48</x:v>
      </x:c>
      <x:c r="K8" s="12" t="n">
        <x:v>80</x:v>
      </x:c>
      <x:c r="L8" s="12" t="n">
        <x:v>5549</x:v>
      </x:c>
      <x:c r="M8" s="12" t="n">
        <x:v>5.71333759071</x:v>
      </x:c>
      <x:c r="N8" s="12" t="n">
        <x:v>5.6248280515</x:v>
      </x:c>
      <x:c r="O8" s="12" t="n">
        <x:v>0.10372848723</x:v>
      </x:c>
      <x:c r="P8" s="12" t="n">
        <x:v>12</x:v>
      </x:c>
      <x:c r="Q8" s="12" t="n">
        <x:v>7779</x:v>
      </x:c>
      <x:c r="R8" s="12" t="n">
        <x:v>8.01873646015</x:v>
      </x:c>
      <x:c r="S8" s="12" t="n">
        <x:v>0.0664334721189</x:v>
      </x:c>
      <x:c r="T8" s="12" t="n">
        <x:v>0.0720611513718</x:v>
      </x:c>
      <x:c r="U8" s="12" t="n">
        <x:v>0.138494623481</x:v>
      </x:c>
      <x:c r="V8" s="12" t="n">
        <x:v>80</x:v>
      </x:c>
      <x:c r="W8" s="12" t="n">
        <x:v>5549</x:v>
      </x:c>
      <x:c r="X8" s="12" t="n">
        <x:v>5.71333759071</x:v>
      </x:c>
      <x:c r="Y8" s="12" t="n">
        <x:v>0.10372848723</x:v>
      </x:c>
      <x:c r="Z8" s="12" t="n">
        <x:v>5</x:v>
      </x:c>
      <x:c r="AA8" s="12" t="n">
        <x:v>5629</x:v>
      </x:c>
      <x:c r="AB8" s="12" t="n">
        <x:v>5.45210389747</x:v>
      </x:c>
      <x:c r="AC8" s="12" t="n">
        <x:v>0.0780133393052</x:v>
      </x:c>
      <x:c r="AD8" s="12" t="n">
        <x:v>0</x:v>
      </x:c>
      <x:c r="AE8" s="12" t="n">
        <x:v>0</x:v>
      </x:c>
      <x:c r="AF8" s="12" t="n">
        <x:v>0</x:v>
      </x:c>
      <x:c r="AG8" s="12" t="n">
        <x:v>0</x:v>
      </x:c>
      <x:c r="AH8" s="12" t="n">
        <x:v>7</x:v>
      </x:c>
      <x:c r="AI8" s="12" t="n">
        <x:v>2150</x:v>
      </x:c>
      <x:c r="AJ8" s="12" t="n">
        <x:v>2.56663256268</x:v>
      </x:c>
      <x:c r="AK8" s="12" t="n">
        <x:v>0.0604812841761</x:v>
      </x:c>
    </x:row>
    <x:row r="9">
      <x:c r="A9" s="12" t="str">
        <x:v>pair04</x:v>
      </x:c>
      <x:c r="B9" s="12" t="n">
        <x:v>50872191</x:v>
      </x:c>
      <x:c r="C9" s="12" t="str">
        <x:v>fusion</x:v>
      </x:c>
      <x:c r="D9" s="12" t="n">
        <x:v>1</x:v>
      </x:c>
      <x:c r="E9" s="12" t="n">
        <x:v>0</x:v>
      </x:c>
      <x:c r="F9" s="12" t="n">
        <x:v>0.00083995</x:v>
      </x:c>
      <x:c r="G9" s="12" t="n">
        <x:v>22.56</x:v>
      </x:c>
      <x:c r="H9" s="12" t="n">
        <x:v>22.66</x:v>
      </x:c>
      <x:c r="I9" s="12" t="n">
        <x:v>22.92</x:v>
      </x:c>
      <x:c r="J9" s="12" t="n">
        <x:v>26.1</x:v>
      </x:c>
      <x:c r="K9" s="12" t="n">
        <x:v>80</x:v>
      </x:c>
      <x:c r="L9" s="12" t="n">
        <x:v>5549</x:v>
      </x:c>
      <x:c r="M9" s="12" t="n">
        <x:v>5.67732406394</x:v>
      </x:c>
      <x:c r="N9" s="12" t="n">
        <x:v>5.58947711178</x:v>
      </x:c>
      <x:c r="O9" s="12" t="n">
        <x:v>0.0902029389143</x:v>
      </x:c>
      <x:c r="P9" s="12" t="n">
        <x:v>12</x:v>
      </x:c>
      <x:c r="Q9" s="12" t="n">
        <x:v>7779</x:v>
      </x:c>
      <x:c r="R9" s="12" t="n">
        <x:v>7.88083837732</x:v>
      </x:c>
      <x:c r="S9" s="12" t="n">
        <x:v>0.0441796738813</x:v>
      </x:c>
      <x:c r="T9" s="12" t="n">
        <x:v>0.0503396495491</x:v>
      </x:c>
      <x:c r="U9" s="12" t="n">
        <x:v>0.0945193234286</x:v>
      </x:c>
      <x:c r="V9" s="12" t="n">
        <x:v>80</x:v>
      </x:c>
      <x:c r="W9" s="12" t="n">
        <x:v>5549</x:v>
      </x:c>
      <x:c r="X9" s="12" t="n">
        <x:v>5.67732406394</x:v>
      </x:c>
      <x:c r="Y9" s="12" t="n">
        <x:v>0.0902029389143</x:v>
      </x:c>
      <x:c r="Z9" s="12" t="n">
        <x:v>5</x:v>
      </x:c>
      <x:c r="AA9" s="12" t="n">
        <x:v>5629</x:v>
      </x:c>
      <x:c r="AB9" s="12" t="n">
        <x:v>5.43161955096</x:v>
      </x:c>
      <x:c r="AC9" s="12" t="n">
        <x:v>0.0508685207404</x:v>
      </x:c>
      <x:c r="AD9" s="12" t="n">
        <x:v>0</x:v>
      </x:c>
      <x:c r="AE9" s="12" t="n">
        <x:v>0</x:v>
      </x:c>
      <x:c r="AF9" s="12" t="n">
        <x:v>0</x:v>
      </x:c>
      <x:c r="AG9" s="12" t="n">
        <x:v>0</x:v>
      </x:c>
      <x:c r="AH9" s="12" t="n">
        <x:v>7</x:v>
      </x:c>
      <x:c r="AI9" s="12" t="n">
        <x:v>2150</x:v>
      </x:c>
      <x:c r="AJ9" s="12" t="n">
        <x:v>2.44921882636</x:v>
      </x:c>
      <x:c r="AK9" s="12" t="n">
        <x:v>0.0436508026882</x:v>
      </x:c>
    </x:row>
    <x:row r="10">
      <x:c r="A10" s="12" t="str">
        <x:v>pair05</x:v>
      </x:c>
      <x:c r="B10" s="12" t="n">
        <x:v>50872192</x:v>
      </x:c>
      <x:c r="C10" s="12" t="str">
        <x:v>no_fusion</x:v>
      </x:c>
      <x:c r="D10" s="12" t="n">
        <x:v>1</x:v>
      </x:c>
      <x:c r="E10" s="12" t="n">
        <x:v>0</x:v>
      </x:c>
      <x:c r="F10" s="12" t="n">
        <x:v>0.00083995</x:v>
      </x:c>
      <x:c r="G10" s="12" t="n">
        <x:v>22.59</x:v>
      </x:c>
      <x:c r="H10" s="12" t="n">
        <x:v>22.7</x:v>
      </x:c>
      <x:c r="I10" s="12" t="n">
        <x:v>22.92</x:v>
      </x:c>
      <x:c r="J10" s="12" t="n">
        <x:v>25.93</x:v>
      </x:c>
      <x:c r="K10" s="12" t="n">
        <x:v>80</x:v>
      </x:c>
      <x:c r="L10" s="12" t="n">
        <x:v>5549</x:v>
      </x:c>
      <x:c r="M10" s="12" t="n">
        <x:v>5.7196303528</x:v>
      </x:c>
      <x:c r="N10" s="12" t="n">
        <x:v>5.6315266088</x:v>
      </x:c>
      <x:c r="O10" s="12" t="n">
        <x:v>0.104372440169</x:v>
      </x:c>
      <x:c r="P10" s="12" t="n">
        <x:v>12</x:v>
      </x:c>
      <x:c r="Q10" s="12" t="n">
        <x:v>7779</x:v>
      </x:c>
      <x:c r="R10" s="12" t="n">
        <x:v>7.92691960728</x:v>
      </x:c>
      <x:c r="S10" s="12" t="n">
        <x:v>0.0646477418214</x:v>
      </x:c>
      <x:c r="T10" s="12" t="n">
        <x:v>0.0689880744211</x:v>
      </x:c>
      <x:c r="U10" s="12" t="n">
        <x:v>0.133635816238</x:v>
      </x:c>
      <x:c r="V10" s="12" t="n">
        <x:v>80</x:v>
      </x:c>
      <x:c r="W10" s="12" t="n">
        <x:v>5549</x:v>
      </x:c>
      <x:c r="X10" s="12" t="n">
        <x:v>5.7196303528</x:v>
      </x:c>
      <x:c r="Y10" s="12" t="n">
        <x:v>0.104372440169</x:v>
      </x:c>
      <x:c r="Z10" s="12" t="n">
        <x:v>5</x:v>
      </x:c>
      <x:c r="AA10" s="12" t="n">
        <x:v>5629</x:v>
      </x:c>
      <x:c r="AB10" s="12" t="n">
        <x:v>5.45517702176</x:v>
      </x:c>
      <x:c r="AC10" s="12" t="n">
        <x:v>0.0731160763833</x:v>
      </x:c>
      <x:c r="AD10" s="12" t="n">
        <x:v>0</x:v>
      </x:c>
      <x:c r="AE10" s="12" t="n">
        <x:v>0</x:v>
      </x:c>
      <x:c r="AF10" s="12" t="n">
        <x:v>0</x:v>
      </x:c>
      <x:c r="AG10" s="12" t="n">
        <x:v>0</x:v>
      </x:c>
      <x:c r="AH10" s="12" t="n">
        <x:v>7</x:v>
      </x:c>
      <x:c r="AI10" s="12" t="n">
        <x:v>2150</x:v>
      </x:c>
      <x:c r="AJ10" s="12" t="n">
        <x:v>2.47174258552</x:v>
      </x:c>
      <x:c r="AK10" s="12" t="n">
        <x:v>0.0605197398545</x:v>
      </x:c>
    </x:row>
    <x:row r="11">
      <x:c r="A11" s="12" t="str">
        <x:v>pair05</x:v>
      </x:c>
      <x:c r="B11" s="12" t="n">
        <x:v>50872192</x:v>
      </x:c>
      <x:c r="C11" s="12" t="str">
        <x:v>fusion</x:v>
      </x:c>
      <x:c r="D11" s="12" t="n">
        <x:v>2</x:v>
      </x:c>
      <x:c r="E11" s="12" t="n">
        <x:v>0</x:v>
      </x:c>
      <x:c r="F11" s="12" t="n">
        <x:v>0.00083995</x:v>
      </x:c>
      <x:c r="G11" s="12" t="n">
        <x:v>22.74</x:v>
      </x:c>
      <x:c r="H11" s="12" t="n">
        <x:v>22.83</x:v>
      </x:c>
      <x:c r="I11" s="12" t="n">
        <x:v>23.21</x:v>
      </x:c>
      <x:c r="J11" s="12" t="n">
        <x:v>25.45</x:v>
      </x:c>
      <x:c r="K11" s="12" t="n">
        <x:v>80</x:v>
      </x:c>
      <x:c r="L11" s="12" t="n">
        <x:v>5549</x:v>
      </x:c>
      <x:c r="M11" s="12" t="n">
        <x:v>5.67947773814</x:v>
      </x:c>
      <x:c r="N11" s="12" t="n">
        <x:v>5.59177580186</x:v>
      </x:c>
      <x:c r="O11" s="12" t="n">
        <x:v>0.0895339060498</x:v>
      </x:c>
      <x:c r="P11" s="12" t="n">
        <x:v>12</x:v>
      </x:c>
      <x:c r="Q11" s="12" t="n">
        <x:v>7779</x:v>
      </x:c>
      <x:c r="R11" s="12" t="n">
        <x:v>7.98746690939</x:v>
      </x:c>
      <x:c r="S11" s="12" t="n">
        <x:v>0.0440012125782</x:v>
      </x:c>
      <x:c r="T11" s="12" t="n">
        <x:v>0.0495796844428</x:v>
      </x:c>
      <x:c r="U11" s="12" t="n">
        <x:v>0.0935808970208</x:v>
      </x:c>
      <x:c r="V11" s="12" t="n">
        <x:v>80</x:v>
      </x:c>
      <x:c r="W11" s="12" t="n">
        <x:v>5549</x:v>
      </x:c>
      <x:c r="X11" s="12" t="n">
        <x:v>5.67947773814</x:v>
      </x:c>
      <x:c r="Y11" s="12" t="n">
        <x:v>0.0895339060498</x:v>
      </x:c>
      <x:c r="Z11" s="12" t="n">
        <x:v>5</x:v>
      </x:c>
      <x:c r="AA11" s="12" t="n">
        <x:v>5629</x:v>
      </x:c>
      <x:c r="AB11" s="12" t="n">
        <x:v>5.43230447188</x:v>
      </x:c>
      <x:c r="AC11" s="12" t="n">
        <x:v>0.04993804137</x:v>
      </x:c>
      <x:c r="AD11" s="12" t="n">
        <x:v>0</x:v>
      </x:c>
      <x:c r="AE11" s="12" t="n">
        <x:v>0</x:v>
      </x:c>
      <x:c r="AF11" s="12" t="n">
        <x:v>0</x:v>
      </x:c>
      <x:c r="AG11" s="12" t="n">
        <x:v>0</x:v>
      </x:c>
      <x:c r="AH11" s="12" t="n">
        <x:v>7</x:v>
      </x:c>
      <x:c r="AI11" s="12" t="n">
        <x:v>2150</x:v>
      </x:c>
      <x:c r="AJ11" s="12" t="n">
        <x:v>2.55516243751</x:v>
      </x:c>
      <x:c r="AK11" s="12" t="n">
        <x:v>0.0436428556508</x:v>
      </x:c>
    </x:row>
    <x:row r="12">
      <x:c r="A12" s="12" t="str">
        <x:v>pair06</x:v>
      </x:c>
      <x:c r="B12" s="12" t="n">
        <x:v>50872193</x:v>
      </x:c>
      <x:c r="C12" s="12" t="str">
        <x:v>no_fusion</x:v>
      </x:c>
      <x:c r="D12" s="12" t="n">
        <x:v>2</x:v>
      </x:c>
      <x:c r="E12" s="12" t="n">
        <x:v>0</x:v>
      </x:c>
      <x:c r="F12" s="12" t="n">
        <x:v>0.00083995</x:v>
      </x:c>
      <x:c r="G12" s="12" t="n">
        <x:v>22.98</x:v>
      </x:c>
      <x:c r="H12" s="12" t="n">
        <x:v>23.08</x:v>
      </x:c>
      <x:c r="I12" s="12" t="n">
        <x:v>23.4</x:v>
      </x:c>
      <x:c r="J12" s="12" t="n">
        <x:v>26.02</x:v>
      </x:c>
      <x:c r="K12" s="12" t="n">
        <x:v>80</x:v>
      </x:c>
      <x:c r="L12" s="12" t="n">
        <x:v>5549</x:v>
      </x:c>
      <x:c r="M12" s="12" t="n">
        <x:v>5.71504702614</x:v>
      </x:c>
      <x:c r="N12" s="12" t="n">
        <x:v>5.62690523372</x:v>
      </x:c>
      <x:c r="O12" s="12" t="n">
        <x:v>0.105368175126</x:v>
      </x:c>
      <x:c r="P12" s="12" t="n">
        <x:v>12</x:v>
      </x:c>
      <x:c r="Q12" s="12" t="n">
        <x:v>7779</x:v>
      </x:c>
      <x:c r="R12" s="12" t="n">
        <x:v>8.06707885022</x:v>
      </x:c>
      <x:c r="S12" s="12" t="n">
        <x:v>0.0610317537454</x:v>
      </x:c>
      <x:c r="T12" s="12" t="n">
        <x:v>0.0715277739493</x:v>
      </x:c>
      <x:c r="U12" s="12" t="n">
        <x:v>0.132559527705</x:v>
      </x:c>
      <x:c r="V12" s="12" t="n">
        <x:v>80</x:v>
      </x:c>
      <x:c r="W12" s="12" t="n">
        <x:v>5549</x:v>
      </x:c>
      <x:c r="X12" s="12" t="n">
        <x:v>5.71504702614</x:v>
      </x:c>
      <x:c r="Y12" s="12" t="n">
        <x:v>0.105368175126</x:v>
      </x:c>
      <x:c r="Z12" s="12" t="n">
        <x:v>5</x:v>
      </x:c>
      <x:c r="AA12" s="12" t="n">
        <x:v>5629</x:v>
      </x:c>
      <x:c r="AB12" s="12" t="n">
        <x:v>5.45038070778</x:v>
      </x:c>
      <x:c r="AC12" s="12" t="n">
        <x:v>0.0733734772497</x:v>
      </x:c>
      <x:c r="AD12" s="12" t="n">
        <x:v>0</x:v>
      </x:c>
      <x:c r="AE12" s="12" t="n">
        <x:v>0</x:v>
      </x:c>
      <x:c r="AF12" s="12" t="n">
        <x:v>0</x:v>
      </x:c>
      <x:c r="AG12" s="12" t="n">
        <x:v>0</x:v>
      </x:c>
      <x:c r="AH12" s="12" t="n">
        <x:v>7</x:v>
      </x:c>
      <x:c r="AI12" s="12" t="n">
        <x:v>2150</x:v>
      </x:c>
      <x:c r="AJ12" s="12" t="n">
        <x:v>2.61669814244</x:v>
      </x:c>
      <x:c r="AK12" s="12" t="n">
        <x:v>0.0591860504551</x:v>
      </x:c>
    </x:row>
    <x:row r="13">
      <x:c r="A13" s="12" t="str">
        <x:v>pair06</x:v>
      </x:c>
      <x:c r="B13" s="12" t="n">
        <x:v>50872193</x:v>
      </x:c>
      <x:c r="C13" s="12" t="str">
        <x:v>fusion</x:v>
      </x:c>
      <x:c r="D13" s="12" t="n">
        <x:v>1</x:v>
      </x:c>
      <x:c r="E13" s="12" t="n">
        <x:v>0</x:v>
      </x:c>
      <x:c r="F13" s="12" t="n">
        <x:v>0.00083995</x:v>
      </x:c>
      <x:c r="G13" s="12" t="n">
        <x:v>22.55</x:v>
      </x:c>
      <x:c r="H13" s="12" t="n">
        <x:v>22.66</x:v>
      </x:c>
      <x:c r="I13" s="12" t="n">
        <x:v>22.92</x:v>
      </x:c>
      <x:c r="J13" s="12" t="n">
        <x:v>25.96</x:v>
      </x:c>
      <x:c r="K13" s="12" t="n">
        <x:v>80</x:v>
      </x:c>
      <x:c r="L13" s="12" t="n">
        <x:v>5549</x:v>
      </x:c>
      <x:c r="M13" s="12" t="n">
        <x:v>5.67994660915</x:v>
      </x:c>
      <x:c r="N13" s="12" t="n">
        <x:v>5.59166986288</x:v>
      </x:c>
      <x:c r="O13" s="12" t="n">
        <x:v>0.0901442285898</x:v>
      </x:c>
      <x:c r="P13" s="12" t="n">
        <x:v>12</x:v>
      </x:c>
      <x:c r="Q13" s="12" t="n">
        <x:v>7779</x:v>
      </x:c>
      <x:c r="R13" s="12" t="n">
        <x:v>7.8881660445</x:v>
      </x:c>
      <x:c r="S13" s="12" t="n">
        <x:v>0.0428267484849</x:v>
      </x:c>
      <x:c r="T13" s="12" t="n">
        <x:v>0.0503716998869</x:v>
      </x:c>
      <x:c r="U13" s="12" t="n">
        <x:v>0.0931984483747</x:v>
      </x:c>
      <x:c r="V13" s="12" t="n">
        <x:v>80</x:v>
      </x:c>
      <x:c r="W13" s="12" t="n">
        <x:v>5549</x:v>
      </x:c>
      <x:c r="X13" s="12" t="n">
        <x:v>5.67994660915</x:v>
      </x:c>
      <x:c r="Y13" s="12" t="n">
        <x:v>0.0901442285898</x:v>
      </x:c>
      <x:c r="Z13" s="12" t="n">
        <x:v>5</x:v>
      </x:c>
      <x:c r="AA13" s="12" t="n">
        <x:v>5629</x:v>
      </x:c>
      <x:c r="AB13" s="12" t="n">
        <x:v>5.43236074081</x:v>
      </x:c>
      <x:c r="AC13" s="12" t="n">
        <x:v>0.0498917129659</x:v>
      </x:c>
      <x:c r="AD13" s="12" t="n">
        <x:v>0</x:v>
      </x:c>
      <x:c r="AE13" s="12" t="n">
        <x:v>0</x:v>
      </x:c>
      <x:c r="AF13" s="12" t="n">
        <x:v>0</x:v>
      </x:c>
      <x:c r="AG13" s="12" t="n">
        <x:v>0</x:v>
      </x:c>
      <x:c r="AH13" s="12" t="n">
        <x:v>7</x:v>
      </x:c>
      <x:c r="AI13" s="12" t="n">
        <x:v>2150</x:v>
      </x:c>
      <x:c r="AJ13" s="12" t="n">
        <x:v>2.45580530369</x:v>
      </x:c>
      <x:c r="AK13" s="12" t="n">
        <x:v>0.0433067354088</x:v>
      </x:c>
    </x:row>
    <x:row r="14">
      <x:c r="A14" s="12" t="str">
        <x:v>pair07</x:v>
      </x:c>
      <x:c r="B14" s="12" t="n">
        <x:v>50872194</x:v>
      </x:c>
      <x:c r="C14" s="12" t="str">
        <x:v>no_fusion</x:v>
      </x:c>
      <x:c r="D14" s="12" t="n">
        <x:v>1</x:v>
      </x:c>
      <x:c r="E14" s="12" t="n">
        <x:v>0</x:v>
      </x:c>
      <x:c r="F14" s="12" t="n">
        <x:v>0.00083995</x:v>
      </x:c>
      <x:c r="G14" s="12" t="n">
        <x:v>22.81</x:v>
      </x:c>
      <x:c r="H14" s="12" t="n">
        <x:v>22.91</x:v>
      </x:c>
      <x:c r="I14" s="12" t="n">
        <x:v>23.29</x:v>
      </x:c>
      <x:c r="J14" s="12" t="n">
        <x:v>25.06</x:v>
      </x:c>
      <x:c r="K14" s="12" t="n">
        <x:v>80</x:v>
      </x:c>
      <x:c r="L14" s="12" t="n">
        <x:v>5549</x:v>
      </x:c>
      <x:c r="M14" s="12" t="n">
        <x:v>5.71300749859</x:v>
      </x:c>
      <x:c r="N14" s="12" t="n">
        <x:v>5.62481246408</x:v>
      </x:c>
      <x:c r="O14" s="12" t="n">
        <x:v>0.103849397325</x:v>
      </x:c>
      <x:c r="P14" s="12" t="n">
        <x:v>12</x:v>
      </x:c>
      <x:c r="Q14" s="12" t="n">
        <x:v>7779</x:v>
      </x:c>
      <x:c r="R14" s="12" t="n">
        <x:v>7.96221260111</x:v>
      </x:c>
      <x:c r="S14" s="12" t="n">
        <x:v>0.06615082673</x:v>
      </x:c>
      <x:c r="T14" s="12" t="n">
        <x:v>0.0712483309158</x:v>
      </x:c>
      <x:c r="U14" s="12" t="n">
        <x:v>0.137399157651</x:v>
      </x:c>
      <x:c r="V14" s="12" t="n">
        <x:v>80</x:v>
      </x:c>
      <x:c r="W14" s="12" t="n">
        <x:v>5549</x:v>
      </x:c>
      <x:c r="X14" s="12" t="n">
        <x:v>5.71300749859</x:v>
      </x:c>
      <x:c r="Y14" s="12" t="n">
        <x:v>0.103849397325</x:v>
      </x:c>
      <x:c r="Z14" s="12" t="n">
        <x:v>5</x:v>
      </x:c>
      <x:c r="AA14" s="12" t="n">
        <x:v>5629</x:v>
      </x:c>
      <x:c r="AB14" s="12" t="n">
        <x:v>5.45062480961</x:v>
      </x:c>
      <x:c r="AC14" s="12" t="n">
        <x:v>0.0770135609136</x:v>
      </x:c>
      <x:c r="AD14" s="12" t="n">
        <x:v>0</x:v>
      </x:c>
      <x:c r="AE14" s="12" t="n">
        <x:v>0</x:v>
      </x:c>
      <x:c r="AF14" s="12" t="n">
        <x:v>0</x:v>
      </x:c>
      <x:c r="AG14" s="12" t="n">
        <x:v>0</x:v>
      </x:c>
      <x:c r="AH14" s="12" t="n">
        <x:v>7</x:v>
      </x:c>
      <x:c r="AI14" s="12" t="n">
        <x:v>2150</x:v>
      </x:c>
      <x:c r="AJ14" s="12" t="n">
        <x:v>2.5115877915</x:v>
      </x:c>
      <x:c r="AK14" s="12" t="n">
        <x:v>0.0603855967378</x:v>
      </x:c>
    </x:row>
    <x:row r="15">
      <x:c r="A15" s="12" t="str">
        <x:v>pair07</x:v>
      </x:c>
      <x:c r="B15" s="12" t="n">
        <x:v>50872194</x:v>
      </x:c>
      <x:c r="C15" s="12" t="str">
        <x:v>fusion</x:v>
      </x:c>
      <x:c r="D15" s="12" t="n">
        <x:v>2</x:v>
      </x:c>
      <x:c r="E15" s="12" t="n">
        <x:v>0</x:v>
      </x:c>
      <x:c r="F15" s="12" t="n">
        <x:v>0.00083995</x:v>
      </x:c>
      <x:c r="G15" s="12" t="n">
        <x:v>23.07</x:v>
      </x:c>
      <x:c r="H15" s="12" t="n">
        <x:v>23.16</x:v>
      </x:c>
      <x:c r="I15" s="12" t="n">
        <x:v>23.45</x:v>
      </x:c>
      <x:c r="J15" s="12" t="n">
        <x:v>24.86</x:v>
      </x:c>
      <x:c r="K15" s="12" t="n">
        <x:v>80</x:v>
      </x:c>
      <x:c r="L15" s="12" t="n">
        <x:v>5549</x:v>
      </x:c>
      <x:c r="M15" s="12" t="n">
        <x:v>5.68165402064</x:v>
      </x:c>
      <x:c r="N15" s="12" t="n">
        <x:v>5.59401121833</x:v>
      </x:c>
      <x:c r="O15" s="12" t="n">
        <x:v>0.0902916229117</x:v>
      </x:c>
      <x:c r="P15" s="12" t="n">
        <x:v>12</x:v>
      </x:c>
      <x:c r="Q15" s="12" t="n">
        <x:v>7779</x:v>
      </x:c>
      <x:c r="R15" s="12" t="n">
        <x:v>8.09405481299</x:v>
      </x:c>
      <x:c r="S15" s="12" t="n">
        <x:v>0.0450062912269</x:v>
      </x:c>
      <x:c r="T15" s="12" t="n">
        <x:v>0.0494217402464</x:v>
      </x:c>
      <x:c r="U15" s="12" t="n">
        <x:v>0.0944280314903</x:v>
      </x:c>
      <x:c r="V15" s="12" t="n">
        <x:v>80</x:v>
      </x:c>
      <x:c r="W15" s="12" t="n">
        <x:v>5549</x:v>
      </x:c>
      <x:c r="X15" s="12" t="n">
        <x:v>5.68165402064</x:v>
      </x:c>
      <x:c r="Y15" s="12" t="n">
        <x:v>0.0902916229117</x:v>
      </x:c>
      <x:c r="Z15" s="12" t="n">
        <x:v>5</x:v>
      </x:c>
      <x:c r="AA15" s="12" t="n">
        <x:v>5629</x:v>
      </x:c>
      <x:c r="AB15" s="12" t="n">
        <x:v>5.4312455911</x:v>
      </x:c>
      <x:c r="AC15" s="12" t="n">
        <x:v>0.0518605684603</x:v>
      </x:c>
      <x:c r="AD15" s="12" t="n">
        <x:v>0</x:v>
      </x:c>
      <x:c r="AE15" s="12" t="n">
        <x:v>0</x:v>
      </x:c>
      <x:c r="AF15" s="12" t="n">
        <x:v>0</x:v>
      </x:c>
      <x:c r="AG15" s="12" t="n">
        <x:v>0</x:v>
      </x:c>
      <x:c r="AH15" s="12" t="n">
        <x:v>7</x:v>
      </x:c>
      <x:c r="AI15" s="12" t="n">
        <x:v>2150</x:v>
      </x:c>
      <x:c r="AJ15" s="12" t="n">
        <x:v>2.66280922189</x:v>
      </x:c>
      <x:c r="AK15" s="12" t="n">
        <x:v>0.04256746303</x:v>
      </x:c>
    </x:row>
    <x:row r="16">
      <x:c r="A16" s="12" t="str">
        <x:v>pair08</x:v>
      </x:c>
      <x:c r="B16" s="12" t="n">
        <x:v>50872196</x:v>
      </x:c>
      <x:c r="C16" s="12" t="str">
        <x:v>no_fusion</x:v>
      </x:c>
      <x:c r="D16" s="12" t="n">
        <x:v>2</x:v>
      </x:c>
      <x:c r="E16" s="12" t="n">
        <x:v>0</x:v>
      </x:c>
      <x:c r="F16" s="12" t="n">
        <x:v>0.00083995</x:v>
      </x:c>
      <x:c r="G16" s="12" t="n">
        <x:v>22.9</x:v>
      </x:c>
      <x:c r="H16" s="12" t="n">
        <x:v>23.01</x:v>
      </x:c>
      <x:c r="I16" s="12" t="n">
        <x:v>23.38</x:v>
      </x:c>
      <x:c r="J16" s="12" t="n">
        <x:v>25.72</x:v>
      </x:c>
      <x:c r="K16" s="12" t="n">
        <x:v>80</x:v>
      </x:c>
      <x:c r="L16" s="12" t="n">
        <x:v>5549</x:v>
      </x:c>
      <x:c r="M16" s="12" t="n">
        <x:v>5.71671613515</x:v>
      </x:c>
      <x:c r="N16" s="12" t="n">
        <x:v>5.62852266145</x:v>
      </x:c>
      <x:c r="O16" s="12" t="n">
        <x:v>0.103821320375</x:v>
      </x:c>
      <x:c r="P16" s="12" t="n">
        <x:v>12</x:v>
      </x:c>
      <x:c r="Q16" s="12" t="n">
        <x:v>7779</x:v>
      </x:c>
      <x:c r="R16" s="12" t="n">
        <x:v>8.0468458638</x:v>
      </x:c>
      <x:c r="S16" s="12" t="n">
        <x:v>0.0627537135796</x:v>
      </x:c>
      <x:c r="T16" s="12" t="n">
        <x:v>0.0683969509773</x:v>
      </x:c>
      <x:c r="U16" s="12" t="n">
        <x:v>0.131150664553</x:v>
      </x:c>
      <x:c r="V16" s="12" t="n">
        <x:v>80</x:v>
      </x:c>
      <x:c r="W16" s="12" t="n">
        <x:v>5549</x:v>
      </x:c>
      <x:c r="X16" s="12" t="n">
        <x:v>5.71671613515</x:v>
      </x:c>
      <x:c r="Y16" s="12" t="n">
        <x:v>0.103821320375</x:v>
      </x:c>
      <x:c r="Z16" s="12" t="n">
        <x:v>5</x:v>
      </x:c>
      <x:c r="AA16" s="12" t="n">
        <x:v>5629</x:v>
      </x:c>
      <x:c r="AB16" s="12" t="n">
        <x:v>5.45286240413</x:v>
      </x:c>
      <x:c r="AC16" s="12" t="n">
        <x:v>0.0718339803535</x:v>
      </x:c>
      <x:c r="AD16" s="12" t="n">
        <x:v>0</x:v>
      </x:c>
      <x:c r="AE16" s="12" t="n">
        <x:v>0</x:v>
      </x:c>
      <x:c r="AF16" s="12" t="n">
        <x:v>0</x:v>
      </x:c>
      <x:c r="AG16" s="12" t="n">
        <x:v>0</x:v>
      </x:c>
      <x:c r="AH16" s="12" t="n">
        <x:v>7</x:v>
      </x:c>
      <x:c r="AI16" s="12" t="n">
        <x:v>2150</x:v>
      </x:c>
      <x:c r="AJ16" s="12" t="n">
        <x:v>2.59398345966</x:v>
      </x:c>
      <x:c r="AK16" s="12" t="n">
        <x:v>0.0593166841995</x:v>
      </x:c>
    </x:row>
    <x:row r="17">
      <x:c r="A17" s="12" t="str">
        <x:v>pair08</x:v>
      </x:c>
      <x:c r="B17" s="12" t="n">
        <x:v>50872196</x:v>
      </x:c>
      <x:c r="C17" s="12" t="str">
        <x:v>fusion</x:v>
      </x:c>
      <x:c r="D17" s="12" t="n">
        <x:v>1</x:v>
      </x:c>
      <x:c r="E17" s="12" t="n">
        <x:v>0</x:v>
      </x:c>
      <x:c r="F17" s="12" t="n">
        <x:v>0.00083995</x:v>
      </x:c>
      <x:c r="G17" s="12" t="n">
        <x:v>22.56</x:v>
      </x:c>
      <x:c r="H17" s="12" t="n">
        <x:v>22.7</x:v>
      </x:c>
      <x:c r="I17" s="12" t="n">
        <x:v>23.01</x:v>
      </x:c>
      <x:c r="J17" s="12" t="n">
        <x:v>26.06</x:v>
      </x:c>
      <x:c r="K17" s="12" t="n">
        <x:v>80</x:v>
      </x:c>
      <x:c r="L17" s="12" t="n">
        <x:v>5549</x:v>
      </x:c>
      <x:c r="M17" s="12" t="n">
        <x:v>5.67570601613</x:v>
      </x:c>
      <x:c r="N17" s="12" t="n">
        <x:v>5.58825220327</x:v>
      </x:c>
      <x:c r="O17" s="12" t="n">
        <x:v>0.0901358074796</x:v>
      </x:c>
      <x:c r="P17" s="12" t="n">
        <x:v>12</x:v>
      </x:c>
      <x:c r="Q17" s="12" t="n">
        <x:v>7779</x:v>
      </x:c>
      <x:c r="R17" s="12" t="n">
        <x:v>7.88324372128</x:v>
      </x:c>
      <x:c r="S17" s="12" t="n">
        <x:v>0.0437762128588</x:v>
      </x:c>
      <x:c r="T17" s="12" t="n">
        <x:v>0.0489521237198</x:v>
      </x:c>
      <x:c r="U17" s="12" t="n">
        <x:v>0.0927283365759</x:v>
      </x:c>
      <x:c r="V17" s="12" t="n">
        <x:v>80</x:v>
      </x:c>
      <x:c r="W17" s="12" t="n">
        <x:v>5549</x:v>
      </x:c>
      <x:c r="X17" s="12" t="n">
        <x:v>5.67570601613</x:v>
      </x:c>
      <x:c r="Y17" s="12" t="n">
        <x:v>0.0901358074796</x:v>
      </x:c>
      <x:c r="Z17" s="12" t="n">
        <x:v>5</x:v>
      </x:c>
      <x:c r="AA17" s="12" t="n">
        <x:v>5629</x:v>
      </x:c>
      <x:c r="AB17" s="12" t="n">
        <x:v>5.42973605969</x:v>
      </x:c>
      <x:c r="AC17" s="12" t="n">
        <x:v>0.0504684514345</x:v>
      </x:c>
      <x:c r="AD17" s="12" t="n">
        <x:v>0</x:v>
      </x:c>
      <x:c r="AE17" s="12" t="n">
        <x:v>0</x:v>
      </x:c>
      <x:c r="AF17" s="12" t="n">
        <x:v>0</x:v>
      </x:c>
      <x:c r="AG17" s="12" t="n">
        <x:v>0</x:v>
      </x:c>
      <x:c r="AH17" s="12" t="n">
        <x:v>7</x:v>
      </x:c>
      <x:c r="AI17" s="12" t="n">
        <x:v>2150</x:v>
      </x:c>
      <x:c r="AJ17" s="12" t="n">
        <x:v>2.45350766159</x:v>
      </x:c>
      <x:c r="AK17" s="12" t="n">
        <x:v>0.0422598851414</x:v>
      </x:c>
    </x:row>
    <x:row r="18">
      <x:c r="A18" s="12" t="str">
        <x:v>pair09</x:v>
      </x:c>
      <x:c r="B18" s="12" t="n">
        <x:v>50872198</x:v>
      </x:c>
      <x:c r="C18" s="12" t="str">
        <x:v>no_fusion</x:v>
      </x:c>
      <x:c r="D18" s="12" t="n">
        <x:v>1</x:v>
      </x:c>
      <x:c r="E18" s="12" t="n">
        <x:v>0</x:v>
      </x:c>
      <x:c r="F18" s="12" t="n">
        <x:v>0.00083995</x:v>
      </x:c>
      <x:c r="G18" s="12" t="n">
        <x:v>22.97</x:v>
      </x:c>
      <x:c r="H18" s="12" t="n">
        <x:v>23.1</x:v>
      </x:c>
      <x:c r="I18" s="12" t="n">
        <x:v>23.44</x:v>
      </x:c>
      <x:c r="J18" s="12" t="n">
        <x:v>25.2</x:v>
      </x:c>
      <x:c r="K18" s="12" t="n">
        <x:v>80</x:v>
      </x:c>
      <x:c r="L18" s="12" t="n">
        <x:v>5549</x:v>
      </x:c>
      <x:c r="M18" s="12" t="n">
        <x:v>5.71228304128</x:v>
      </x:c>
      <x:c r="N18" s="12" t="n">
        <x:v>5.62438089448</x:v>
      </x:c>
      <x:c r="O18" s="12" t="n">
        <x:v>0.104381926665</x:v>
      </x:c>
      <x:c r="P18" s="12" t="n">
        <x:v>12</x:v>
      </x:c>
      <x:c r="Q18" s="12" t="n">
        <x:v>7779</x:v>
      </x:c>
      <x:c r="R18" s="12" t="n">
        <x:v>8.0400692868</x:v>
      </x:c>
      <x:c r="S18" s="12" t="n">
        <x:v>0.0661724593424</x:v>
      </x:c>
      <x:c r="T18" s="12" t="n">
        <x:v>0.0710757487435</x:v>
      </x:c>
      <x:c r="U18" s="12" t="n">
        <x:v>0.137248208085</x:v>
      </x:c>
      <x:c r="V18" s="12" t="n">
        <x:v>80</x:v>
      </x:c>
      <x:c r="W18" s="12" t="n">
        <x:v>5549</x:v>
      </x:c>
      <x:c r="X18" s="12" t="n">
        <x:v>5.71228304128</x:v>
      </x:c>
      <x:c r="Y18" s="12" t="n">
        <x:v>0.104381926665</x:v>
      </x:c>
      <x:c r="Z18" s="12" t="n">
        <x:v>5</x:v>
      </x:c>
      <x:c r="AA18" s="12" t="n">
        <x:v>5629</x:v>
      </x:c>
      <x:c r="AB18" s="12" t="n">
        <x:v>5.45028668743</x:v>
      </x:c>
      <x:c r="AC18" s="12" t="n">
        <x:v>0.0770508299991</x:v>
      </x:c>
      <x:c r="AD18" s="12" t="n">
        <x:v>0</x:v>
      </x:c>
      <x:c r="AE18" s="12" t="n">
        <x:v>0</x:v>
      </x:c>
      <x:c r="AF18" s="12" t="n">
        <x:v>0</x:v>
      </x:c>
      <x:c r="AG18" s="12" t="n">
        <x:v>0</x:v>
      </x:c>
      <x:c r="AH18" s="12" t="n">
        <x:v>7</x:v>
      </x:c>
      <x:c r="AI18" s="12" t="n">
        <x:v>2150</x:v>
      </x:c>
      <x:c r="AJ18" s="12" t="n">
        <x:v>2.58978259937</x:v>
      </x:c>
      <x:c r="AK18" s="12" t="n">
        <x:v>0.0601973780858</x:v>
      </x:c>
    </x:row>
    <x:row r="19">
      <x:c r="A19" s="12" t="str">
        <x:v>pair09</x:v>
      </x:c>
      <x:c r="B19" s="12" t="n">
        <x:v>50872198</x:v>
      </x:c>
      <x:c r="C19" s="12" t="str">
        <x:v>fusion</x:v>
      </x:c>
      <x:c r="D19" s="12" t="n">
        <x:v>2</x:v>
      </x:c>
      <x:c r="E19" s="12" t="n">
        <x:v>0</x:v>
      </x:c>
      <x:c r="F19" s="12" t="n">
        <x:v>0.00083995</x:v>
      </x:c>
      <x:c r="G19" s="12" t="n">
        <x:v>23.15</x:v>
      </x:c>
      <x:c r="H19" s="12" t="n">
        <x:v>23.24</x:v>
      </x:c>
      <x:c r="I19" s="12" t="n">
        <x:v>23.48</x:v>
      </x:c>
      <x:c r="J19" s="12" t="n">
        <x:v>24.93</x:v>
      </x:c>
      <x:c r="K19" s="12" t="n">
        <x:v>80</x:v>
      </x:c>
      <x:c r="L19" s="12" t="n">
        <x:v>5549</x:v>
      </x:c>
      <x:c r="M19" s="12" t="n">
        <x:v>5.69129267915</x:v>
      </x:c>
      <x:c r="N19" s="12" t="n">
        <x:v>5.6031514537</x:v>
      </x:c>
      <x:c r="O19" s="12" t="n">
        <x:v>0.0903179956968</x:v>
      </x:c>
      <x:c r="P19" s="12" t="n">
        <x:v>12</x:v>
      </x:c>
      <x:c r="Q19" s="12" t="n">
        <x:v>7779</x:v>
      </x:c>
      <x:c r="R19" s="12" t="n">
        <x:v>8.13469076511</x:v>
      </x:c>
      <x:c r="S19" s="12" t="n">
        <x:v>0.0447812533945</x:v>
      </x:c>
      <x:c r="T19" s="12" t="n">
        <x:v>0.0486344400123</x:v>
      </x:c>
      <x:c r="U19" s="12" t="n">
        <x:v>0.0934156934007</x:v>
      </x:c>
      <x:c r="V19" s="12" t="n">
        <x:v>80</x:v>
      </x:c>
      <x:c r="W19" s="12" t="n">
        <x:v>5549</x:v>
      </x:c>
      <x:c r="X19" s="12" t="n">
        <x:v>5.69129267915</x:v>
      </x:c>
      <x:c r="Y19" s="12" t="n">
        <x:v>0.0903179956968</x:v>
      </x:c>
      <x:c r="Z19" s="12" t="n">
        <x:v>5</x:v>
      </x:c>
      <x:c r="AA19" s="12" t="n">
        <x:v>5629</x:v>
      </x:c>
      <x:c r="AB19" s="12" t="n">
        <x:v>5.44158438375</x:v>
      </x:c>
      <x:c r="AC19" s="12" t="n">
        <x:v>0.0519965204725</x:v>
      </x:c>
      <x:c r="AD19" s="12" t="n">
        <x:v>0</x:v>
      </x:c>
      <x:c r="AE19" s="12" t="n">
        <x:v>0</x:v>
      </x:c>
      <x:c r="AF19" s="12" t="n">
        <x:v>0</x:v>
      </x:c>
      <x:c r="AG19" s="12" t="n">
        <x:v>0</x:v>
      </x:c>
      <x:c r="AH19" s="12" t="n">
        <x:v>7</x:v>
      </x:c>
      <x:c r="AI19" s="12" t="n">
        <x:v>2150</x:v>
      </x:c>
      <x:c r="AJ19" s="12" t="n">
        <x:v>2.69310638136</x:v>
      </x:c>
      <x:c r="AK19" s="12" t="n">
        <x:v>0.0414191729282</x:v>
      </x:c>
    </x:row>
    <x:row r="20">
      <x:c r="A20" s="12" t="str">
        <x:v>pair10</x:v>
      </x:c>
      <x:c r="B20" s="12" t="n">
        <x:v>50872200</x:v>
      </x:c>
      <x:c r="C20" s="12" t="str">
        <x:v>no_fusion</x:v>
      </x:c>
      <x:c r="D20" s="12" t="n">
        <x:v>2</x:v>
      </x:c>
      <x:c r="E20" s="12" t="n">
        <x:v>0</x:v>
      </x:c>
      <x:c r="F20" s="12" t="n">
        <x:v>0.00083995</x:v>
      </x:c>
      <x:c r="G20" s="12" t="n">
        <x:v>22.85</x:v>
      </x:c>
      <x:c r="H20" s="12" t="n">
        <x:v>22.95</x:v>
      </x:c>
      <x:c r="I20" s="12" t="n">
        <x:v>23.33</x:v>
      </x:c>
      <x:c r="J20" s="12" t="n">
        <x:v>25.69</x:v>
      </x:c>
      <x:c r="K20" s="12" t="n">
        <x:v>80</x:v>
      </x:c>
      <x:c r="L20" s="12" t="n">
        <x:v>5549</x:v>
      </x:c>
      <x:c r="M20" s="12" t="n">
        <x:v>5.71609492378</x:v>
      </x:c>
      <x:c r="N20" s="12" t="n">
        <x:v>5.62804153381</x:v>
      </x:c>
      <x:c r="O20" s="12" t="n">
        <x:v>0.104263353879</x:v>
      </x:c>
      <x:c r="P20" s="12" t="n">
        <x:v>12</x:v>
      </x:c>
      <x:c r="Q20" s="12" t="n">
        <x:v>7779</x:v>
      </x:c>
      <x:c r="R20" s="12" t="n">
        <x:v>7.94739409397</x:v>
      </x:c>
      <x:c r="S20" s="12" t="n">
        <x:v>0.0645367057219</x:v>
      </x:c>
      <x:c r="T20" s="12" t="n">
        <x:v>0.0696093659507</x:v>
      </x:c>
      <x:c r="U20" s="12" t="n">
        <x:v>0.134146071669</x:v>
      </x:c>
      <x:c r="V20" s="12" t="n">
        <x:v>80</x:v>
      </x:c>
      <x:c r="W20" s="12" t="n">
        <x:v>5549</x:v>
      </x:c>
      <x:c r="X20" s="12" t="n">
        <x:v>5.71609492378</x:v>
      </x:c>
      <x:c r="Y20" s="12" t="n">
        <x:v>0.104263353879</x:v>
      </x:c>
      <x:c r="Z20" s="12" t="n">
        <x:v>5</x:v>
      </x:c>
      <x:c r="AA20" s="12" t="n">
        <x:v>5629</x:v>
      </x:c>
      <x:c r="AB20" s="12" t="n">
        <x:v>5.45437343029</x:v>
      </x:c>
      <x:c r="AC20" s="12" t="n">
        <x:v>0.0732819097878</x:v>
      </x:c>
      <x:c r="AD20" s="12" t="n">
        <x:v>0</x:v>
      </x:c>
      <x:c r="AE20" s="12" t="n">
        <x:v>0</x:v>
      </x:c>
      <x:c r="AF20" s="12" t="n">
        <x:v>0</x:v>
      </x:c>
      <x:c r="AG20" s="12" t="n">
        <x:v>0</x:v>
      </x:c>
      <x:c r="AH20" s="12" t="n">
        <x:v>7</x:v>
      </x:c>
      <x:c r="AI20" s="12" t="n">
        <x:v>2150</x:v>
      </x:c>
      <x:c r="AJ20" s="12" t="n">
        <x:v>2.49302066368</x:v>
      </x:c>
      <x:c r="AK20" s="12" t="n">
        <x:v>0.0608641618812</x:v>
      </x:c>
    </x:row>
    <x:row r="21">
      <x:c r="A21" s="12" t="str">
        <x:v>pair10</x:v>
      </x:c>
      <x:c r="B21" s="12" t="n">
        <x:v>50872200</x:v>
      </x:c>
      <x:c r="C21" s="12" t="str">
        <x:v>fusion</x:v>
      </x:c>
      <x:c r="D21" s="12" t="n">
        <x:v>1</x:v>
      </x:c>
      <x:c r="E21" s="12" t="n">
        <x:v>0</x:v>
      </x:c>
      <x:c r="F21" s="12" t="n">
        <x:v>0.00083995</x:v>
      </x:c>
      <x:c r="G21" s="12" t="n">
        <x:v>22.57</x:v>
      </x:c>
      <x:c r="H21" s="12" t="n">
        <x:v>22.69</x:v>
      </x:c>
      <x:c r="I21" s="12" t="n">
        <x:v>22.91</x:v>
      </x:c>
      <x:c r="J21" s="12" t="n">
        <x:v>26.1</x:v>
      </x:c>
      <x:c r="K21" s="12" t="n">
        <x:v>80</x:v>
      </x:c>
      <x:c r="L21" s="12" t="n">
        <x:v>5549</x:v>
      </x:c>
      <x:c r="M21" s="12" t="n">
        <x:v>5.67680668635</x:v>
      </x:c>
      <x:c r="N21" s="12" t="n">
        <x:v>5.58917261083</x:v>
      </x:c>
      <x:c r="O21" s="12" t="n">
        <x:v>0.0910320895544</x:v>
      </x:c>
      <x:c r="P21" s="12" t="n">
        <x:v>12</x:v>
      </x:c>
      <x:c r="Q21" s="12" t="n">
        <x:v>7779</x:v>
      </x:c>
      <x:c r="R21" s="12" t="n">
        <x:v>7.87614056172</x:v>
      </x:c>
      <x:c r="S21" s="12" t="n">
        <x:v>0.0439341731217</x:v>
      </x:c>
      <x:c r="T21" s="12" t="n">
        <x:v>0.0488887698984</x:v>
      </x:c>
      <x:c r="U21" s="12" t="n">
        <x:v>0.0928229430191</x:v>
      </x:c>
      <x:c r="V21" s="12" t="n">
        <x:v>80</x:v>
      </x:c>
      <x:c r="W21" s="12" t="n">
        <x:v>5549</x:v>
      </x:c>
      <x:c r="X21" s="12" t="n">
        <x:v>5.67680668635</x:v>
      </x:c>
      <x:c r="Y21" s="12" t="n">
        <x:v>0.0910320895544</x:v>
      </x:c>
      <x:c r="Z21" s="12" t="n">
        <x:v>5</x:v>
      </x:c>
      <x:c r="AA21" s="12" t="n">
        <x:v>5629</x:v>
      </x:c>
      <x:c r="AB21" s="12" t="n">
        <x:v>5.42680116419</x:v>
      </x:c>
      <x:c r="AC21" s="12" t="n">
        <x:v>0.0511250878725</x:v>
      </x:c>
      <x:c r="AD21" s="12" t="n">
        <x:v>0</x:v>
      </x:c>
      <x:c r="AE21" s="12" t="n">
        <x:v>0</x:v>
      </x:c>
      <x:c r="AF21" s="12" t="n">
        <x:v>0</x:v>
      </x:c>
      <x:c r="AG21" s="12" t="n">
        <x:v>0</x:v>
      </x:c>
      <x:c r="AH21" s="12" t="n">
        <x:v>7</x:v>
      </x:c>
      <x:c r="AI21" s="12" t="n">
        <x:v>2150</x:v>
      </x:c>
      <x:c r="AJ21" s="12" t="n">
        <x:v>2.44933939753</x:v>
      </x:c>
      <x:c r="AK21" s="12" t="n">
        <x:v>0.0416978551466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15" t="str">
        <x:v>10組のペア差（同じ組番号の融合なし－融合あり）</x:v>
      </x:c>
      <x:c r="B1" s="15" t="str">
        <x:v>10組のペア差（同じ組番号の融合なし－融合あり）</x:v>
      </x:c>
      <x:c r="C1" s="15" t="str">
        <x:v>10組のペア差（同じ組番号の融合なし－融合あり）</x:v>
      </x:c>
      <x:c r="D1" s="15" t="str">
        <x:v>10組のペア差（同じ組番号の融合なし－融合あり）</x:v>
      </x:c>
      <x:c r="E1" s="15" t="str">
        <x:v>10組のペア差（同じ組番号の融合なし－融合あり）</x:v>
      </x:c>
      <x:c r="F1" s="15" t="str">
        <x:v>10組のペア差（同じ組番号の融合なし－融合あり）</x:v>
      </x:c>
      <x:c r="G1" s="15" t="str">
        <x:v>10組のペア差（同じ組番号の融合なし－融合あり）</x:v>
      </x:c>
      <x:c r="H1" s="15" t="str">
        <x:v>10組のペア差（同じ組番号の融合なし－融合あり）</x:v>
      </x:c>
      <x:c r="I1" s="15" t="str">
        <x:v>10組のペア差（同じ組番号の融合なし－融合あり）</x:v>
      </x:c>
      <x:c r="J1" s="15" t="str">
        <x:v>10組のペア差（同じ組番号の融合なし－融合あり）</x:v>
      </x:c>
      <x:c r="K1" s="15" t="str">
        <x:v>10組のペア差（同じ組番号の融合なし－融合あり）</x:v>
      </x:c>
      <x:c r="L1" s="15" t="str">
        <x:v>10組のペア差（同じ組番号の融合なし－融合あり）</x:v>
      </x:c>
      <x:c r="M1" s="15" t="str">
        <x:v>10組のペア差（同じ組番号の融合なし－融合あり）</x:v>
      </x:c>
    </x:row>
    <x:row r="2" ht="30" customHeight="1">
      <x:c r="A2" s="15" t="str">
        <x:v>10組のペア差（同じ組番号の融合なし－融合あり）</x:v>
      </x:c>
      <x:c r="B2" s="15" t="str">
        <x:v>10組のペア差（同じ組番号の融合なし－融合あり）</x:v>
      </x:c>
      <x:c r="C2" s="15" t="str">
        <x:v>10組のペア差（同じ組番号の融合なし－融合あり）</x:v>
      </x:c>
      <x:c r="D2" s="15" t="str">
        <x:v>10組のペア差（同じ組番号の融合なし－融合あり）</x:v>
      </x:c>
      <x:c r="E2" s="15" t="str">
        <x:v>10組のペア差（同じ組番号の融合なし－融合あり）</x:v>
      </x:c>
      <x:c r="F2" s="15" t="str">
        <x:v>10組のペア差（同じ組番号の融合なし－融合あり）</x:v>
      </x:c>
      <x:c r="G2" s="15" t="str">
        <x:v>10組のペア差（同じ組番号の融合なし－融合あり）</x:v>
      </x:c>
      <x:c r="H2" s="15" t="str">
        <x:v>10組のペア差（同じ組番号の融合なし－融合あり）</x:v>
      </x:c>
      <x:c r="I2" s="15" t="str">
        <x:v>10組のペア差（同じ組番号の融合なし－融合あり）</x:v>
      </x:c>
      <x:c r="J2" s="15" t="str">
        <x:v>10組のペア差（同じ組番号の融合なし－融合あり）</x:v>
      </x:c>
      <x:c r="K2" s="15" t="str">
        <x:v>10組のペア差（同じ組番号の融合なし－融合あり）</x:v>
      </x:c>
      <x:c r="L2" s="15" t="str">
        <x:v>10組のペア差（同じ組番号の融合なし－融合あり）</x:v>
      </x:c>
      <x:c r="M2" s="15" t="str">
        <x:v>10組のペア差（同じ組番号の融合なし－融合あり）</x:v>
      </x:c>
    </x:row>
    <x:row r="4">
      <x:c r="A4" s="7" t="str">
        <x:v>組</x:v>
      </x:c>
      <x:c r="B4" s="7" t="str">
        <x:v>CG残差 融合なし</x:v>
      </x:c>
      <x:c r="C4" s="7" t="str">
        <x:v>CG残差 融合あり</x:v>
      </x:c>
      <x:c r="D4" s="7" t="str">
        <x:v>差</x:v>
      </x:c>
      <x:c r="E4" s="7" t="str">
        <x:v>短縮率</x:v>
      </x:c>
      <x:c r="F4" s="7" t="str">
        <x:v>D†D combine 融合なし</x:v>
      </x:c>
      <x:c r="G4" s="7" t="str">
        <x:v>D†D combine 融合あり</x:v>
      </x:c>
      <x:c r="H4" s="7" t="str">
        <x:v>差</x:v>
      </x:c>
      <x:c r="I4" s="7" t="str">
        <x:v>短縮率</x:v>
      </x:c>
      <x:c r="J4" s="7" t="str">
        <x:v>Main 融合なし</x:v>
      </x:c>
      <x:c r="K4" s="7" t="str">
        <x:v>Main 融合あり</x:v>
      </x:c>
      <x:c r="L4" s="7" t="str">
        <x:v>差</x:v>
      </x:c>
      <x:c r="M4" s="7" t="str">
        <x:v>短縮率</x:v>
      </x:c>
    </x:row>
    <x:row r="5">
      <x:c r="A5" s="8" t="n">
        <x:v>1</x:v>
      </x:c>
      <x:c r="B5" s="9" t="n">
        <x:v>0.105711971926</x:v>
      </x:c>
      <x:c r="C5" s="9" t="n">
        <x:v>0.089947445285</x:v>
      </x:c>
      <x:c r="D5" s="9" t="n">
        <x:f>B5-C5</x:f>
        <x:v>0.015764526641000004</x:v>
      </x:c>
      <x:c r="E5" s="55" t="n">
        <x:f>IF(B5=0,0,D5/B5)</x:f>
        <x:v>0.14912716463217066</x:v>
      </x:c>
      <x:c r="F5" s="9" t="n">
        <x:v>0.132774285799</x:v>
      </x:c>
      <x:c r="G5" s="9" t="n">
        <x:v>0.0922499865626</x:v>
      </x:c>
      <x:c r="H5" s="9" t="n">
        <x:f>F5-G5</x:f>
        <x:v>0.0405242992364</x:v>
      </x:c>
      <x:c r="I5" s="55" t="n">
        <x:f>IF(F5=0,0,H5/F5)</x:f>
        <x:v>0.30521195420133984</x:v>
      </x:c>
      <x:c r="J5" s="9" t="n">
        <x:v>22.94</x:v>
      </x:c>
      <x:c r="K5" s="9" t="n">
        <x:v>23.29</x:v>
      </x:c>
      <x:c r="L5" s="9" t="n">
        <x:f>J5-K5</x:f>
        <x:v>-0.34999999999999787</x:v>
      </x:c>
      <x:c r="M5" s="55" t="n">
        <x:f>IF(J5=0,0,L5/J5)</x:f>
        <x:v>-0.015257192676547422</x:v>
      </x:c>
    </x:row>
    <x:row r="6">
      <x:c r="A6" s="8" t="n">
        <x:v>2</x:v>
      </x:c>
      <x:c r="B6" s="9" t="n">
        <x:v>0.104971923158</x:v>
      </x:c>
      <x:c r="C6" s="9" t="n">
        <x:v>0.0900412035507</x:v>
      </x:c>
      <x:c r="D6" s="9" t="n">
        <x:f>B6-C6</x:f>
        <x:v>0.014930719607299997</x:v>
      </x:c>
      <x:c r="E6" s="55" t="n">
        <x:f>IF(B6=0,0,D6/B6)</x:f>
        <x:v>0.1422353631154</x:v>
      </x:c>
      <x:c r="F6" s="9" t="n">
        <x:v>0.140391879713</x:v>
      </x:c>
      <x:c r="G6" s="9" t="n">
        <x:v>0.0917860477883</x:v>
      </x:c>
      <x:c r="H6" s="9" t="n">
        <x:f>F6-G6</x:f>
        <x:v>0.048605831924699985</x:v>
      </x:c>
      <x:c r="I6" s="55" t="n">
        <x:f>IF(F6=0,0,H6/F6)</x:f>
        <x:v>0.3462154080710637</x:v>
      </x:c>
      <x:c r="J6" s="9" t="n">
        <x:v>23.28</x:v>
      </x:c>
      <x:c r="K6" s="9" t="n">
        <x:v>22.91</x:v>
      </x:c>
      <x:c r="L6" s="9" t="n">
        <x:f>J6-K6</x:f>
        <x:v>0.370000000000001</x:v>
      </x:c>
      <x:c r="M6" s="55" t="n">
        <x:f>IF(J6=0,0,L6/J6)</x:f>
        <x:v>0.015893470790378048</x:v>
      </x:c>
    </x:row>
    <x:row r="7">
      <x:c r="A7" s="8" t="n">
        <x:v>3</x:v>
      </x:c>
      <x:c r="B7" s="9" t="n">
        <x:v>0.104970801128</x:v>
      </x:c>
      <x:c r="C7" s="9" t="n">
        <x:v>0.0898107261027</x:v>
      </x:c>
      <x:c r="D7" s="9" t="n">
        <x:f>B7-C7</x:f>
        <x:v>0.015160075025300007</x:v>
      </x:c>
      <x:c r="E7" s="55" t="n">
        <x:f>IF(B7=0,0,D7/B7)</x:f>
        <x:v>0.14442182837886522</x:v>
      </x:c>
      <x:c r="F7" s="9" t="n">
        <x:v>0.131043405922</x:v>
      </x:c>
      <x:c r="G7" s="9" t="n">
        <x:v>0.0930823307503</x:v>
      </x:c>
      <x:c r="H7" s="9" t="n">
        <x:f>F7-G7</x:f>
        <x:v>0.03796107517170001</x:v>
      </x:c>
      <x:c r="I7" s="55" t="n">
        <x:f>IF(F7=0,0,H7/F7)</x:f>
        <x:v>0.28968321530268604</x:v>
      </x:c>
      <x:c r="J7" s="9" t="n">
        <x:v>22.95</x:v>
      </x:c>
      <x:c r="K7" s="9" t="n">
        <x:v>23.21</x:v>
      </x:c>
      <x:c r="L7" s="9" t="n">
        <x:f>J7-K7</x:f>
        <x:v>-0.26000000000000156</x:v>
      </x:c>
      <x:c r="M7" s="55" t="n">
        <x:f>IF(J7=0,0,L7/J7)</x:f>
        <x:v>-0.011328976034858456</x:v>
      </x:c>
    </x:row>
    <x:row r="8">
      <x:c r="A8" s="8" t="n">
        <x:v>4</x:v>
      </x:c>
      <x:c r="B8" s="9" t="n">
        <x:v>0.10372848723</x:v>
      </x:c>
      <x:c r="C8" s="9" t="n">
        <x:v>0.0902029389143</x:v>
      </x:c>
      <x:c r="D8" s="9" t="n">
        <x:f>B8-C8</x:f>
        <x:v>0.013525548315700006</x:v>
      </x:c>
      <x:c r="E8" s="55" t="n">
        <x:f>IF(B8=0,0,D8/B8)</x:f>
        <x:v>0.130393768162351</x:v>
      </x:c>
      <x:c r="F8" s="9" t="n">
        <x:v>0.138494623481</x:v>
      </x:c>
      <x:c r="G8" s="9" t="n">
        <x:v>0.0945193234286</x:v>
      </x:c>
      <x:c r="H8" s="9" t="n">
        <x:f>F8-G8</x:f>
        <x:v>0.043975300052399996</x:v>
      </x:c>
      <x:c r="I8" s="55" t="n">
        <x:f>IF(F8=0,0,H8/F8)</x:f>
        <x:v>0.31752351786012073</x:v>
      </x:c>
      <x:c r="J8" s="9" t="n">
        <x:v>23.39</x:v>
      </x:c>
      <x:c r="K8" s="9" t="n">
        <x:v>22.92</x:v>
      </x:c>
      <x:c r="L8" s="9" t="n">
        <x:f>J8-K8</x:f>
        <x:v>0.46999999999999886</x:v>
      </x:c>
      <x:c r="M8" s="55" t="n">
        <x:f>IF(J8=0,0,L8/J8)</x:f>
        <x:v>0.020094057289439884</x:v>
      </x:c>
    </x:row>
    <x:row r="9">
      <x:c r="A9" s="8" t="n">
        <x:v>5</x:v>
      </x:c>
      <x:c r="B9" s="9" t="n">
        <x:v>0.104372440169</x:v>
      </x:c>
      <x:c r="C9" s="9" t="n">
        <x:v>0.0895339060498</x:v>
      </x:c>
      <x:c r="D9" s="9" t="n">
        <x:f>B9-C9</x:f>
        <x:v>0.014838534119200011</x:v>
      </x:c>
      <x:c r="E9" s="55" t="n">
        <x:f>IF(B9=0,0,D9/B9)</x:f>
        <x:v>0.1421690830948614</x:v>
      </x:c>
      <x:c r="F9" s="9" t="n">
        <x:v>0.133635816238</x:v>
      </x:c>
      <x:c r="G9" s="9" t="n">
        <x:v>0.0935808970208</x:v>
      </x:c>
      <x:c r="H9" s="9" t="n">
        <x:f>F9-G9</x:f>
        <x:v>0.0400549192172</x:v>
      </x:c>
      <x:c r="I9" s="55" t="n">
        <x:f>IF(F9=0,0,H9/F9)</x:f>
        <x:v>0.2997319157752126</x:v>
      </x:c>
      <x:c r="J9" s="9" t="n">
        <x:v>22.92</x:v>
      </x:c>
      <x:c r="K9" s="9" t="n">
        <x:v>23.21</x:v>
      </x:c>
      <x:c r="L9" s="9" t="n">
        <x:f>J9-K9</x:f>
        <x:v>-0.28999999999999915</x:v>
      </x:c>
      <x:c r="M9" s="55" t="n">
        <x:f>IF(J9=0,0,L9/J9)</x:f>
        <x:v>-0.012652705061081987</x:v>
      </x:c>
    </x:row>
    <x:row r="10">
      <x:c r="A10" s="8" t="n">
        <x:v>6</x:v>
      </x:c>
      <x:c r="B10" s="9" t="n">
        <x:v>0.105368175126</x:v>
      </x:c>
      <x:c r="C10" s="9" t="n">
        <x:v>0.0901442285898</x:v>
      </x:c>
      <x:c r="D10" s="9" t="n">
        <x:f>B10-C10</x:f>
        <x:v>0.015223946536200003</x:v>
      </x:c>
      <x:c r="E10" s="55" t="n">
        <x:f>IF(B10=0,0,D10/B10)</x:f>
        <x:v>0.144483346304471</x:v>
      </x:c>
      <x:c r="F10" s="9" t="n">
        <x:v>0.132559527705</x:v>
      </x:c>
      <x:c r="G10" s="9" t="n">
        <x:v>0.0931984483747</x:v>
      </x:c>
      <x:c r="H10" s="9" t="n">
        <x:f>F10-G10</x:f>
        <x:v>0.03936107933030002</x:v>
      </x:c>
      <x:c r="I10" s="55" t="n">
        <x:f>IF(F10=0,0,H10/F10)</x:f>
        <x:v>0.2969313485930243</x:v>
      </x:c>
      <x:c r="J10" s="9" t="n">
        <x:v>23.4</x:v>
      </x:c>
      <x:c r="K10" s="9" t="n">
        <x:v>22.92</x:v>
      </x:c>
      <x:c r="L10" s="9" t="n">
        <x:f>J10-K10</x:f>
        <x:v>0.4799999999999969</x:v>
      </x:c>
      <x:c r="M10" s="55" t="n">
        <x:f>IF(J10=0,0,L10/J10)</x:f>
        <x:v>0.02051282051282038</x:v>
      </x:c>
    </x:row>
    <x:row r="11">
      <x:c r="A11" s="8" t="n">
        <x:v>7</x:v>
      </x:c>
      <x:c r="B11" s="9" t="n">
        <x:v>0.103849397325</x:v>
      </x:c>
      <x:c r="C11" s="9" t="n">
        <x:v>0.0902916229117</x:v>
      </x:c>
      <x:c r="D11" s="9" t="n">
        <x:f>B11-C11</x:f>
        <x:v>0.0135577744133</x:v>
      </x:c>
      <x:c r="E11" s="55" t="n">
        <x:f>IF(B11=0,0,D11/B11)</x:f>
        <x:v>0.1305522685978669</x:v>
      </x:c>
      <x:c r="F11" s="9" t="n">
        <x:v>0.137399157651</x:v>
      </x:c>
      <x:c r="G11" s="9" t="n">
        <x:v>0.0944280314903</x:v>
      </x:c>
      <x:c r="H11" s="9" t="n">
        <x:f>F11-G11</x:f>
        <x:v>0.04297112616069999</x:v>
      </x:c>
      <x:c r="I11" s="55" t="n">
        <x:f>IF(F11=0,0,H11/F11)</x:f>
        <x:v>0.31274664921781087</x:v>
      </x:c>
      <x:c r="J11" s="9" t="n">
        <x:v>23.29</x:v>
      </x:c>
      <x:c r="K11" s="9" t="n">
        <x:v>23.45</x:v>
      </x:c>
      <x:c r="L11" s="9" t="n">
        <x:f>J11-K11</x:f>
        <x:v>-0.16000000000000014</x:v>
      </x:c>
      <x:c r="M11" s="55" t="n">
        <x:f>IF(J11=0,0,L11/J11)</x:f>
        <x:v>-0.006869901245169607</x:v>
      </x:c>
    </x:row>
    <x:row r="12">
      <x:c r="A12" s="8" t="n">
        <x:v>8</x:v>
      </x:c>
      <x:c r="B12" s="9" t="n">
        <x:v>0.103821320375</x:v>
      </x:c>
      <x:c r="C12" s="9" t="n">
        <x:v>0.0901358074796</x:v>
      </x:c>
      <x:c r="D12" s="9" t="n">
        <x:f>B12-C12</x:f>
        <x:v>0.013685512895400001</x:v>
      </x:c>
      <x:c r="E12" s="55" t="n">
        <x:f>IF(B12=0,0,D12/B12)</x:f>
        <x:v>0.13181794303875422</x:v>
      </x:c>
      <x:c r="F12" s="9" t="n">
        <x:v>0.131150664553</x:v>
      </x:c>
      <x:c r="G12" s="9" t="n">
        <x:v>0.0927283365759</x:v>
      </x:c>
      <x:c r="H12" s="9" t="n">
        <x:f>F12-G12</x:f>
        <x:v>0.038422327977100004</x:v>
      </x:c>
      <x:c r="I12" s="55" t="n">
        <x:f>IF(F12=0,0,H12/F12)</x:f>
        <x:v>0.2929632732556452</x:v>
      </x:c>
      <x:c r="J12" s="9" t="n">
        <x:v>23.38</x:v>
      </x:c>
      <x:c r="K12" s="9" t="n">
        <x:v>23.01</x:v>
      </x:c>
      <x:c r="L12" s="9" t="n">
        <x:f>J12-K12</x:f>
        <x:v>0.36999999999999744</x:v>
      </x:c>
      <x:c r="M12" s="55" t="n">
        <x:f>IF(J12=0,0,L12/J12)</x:f>
        <x:v>0.015825491873395957</x:v>
      </x:c>
    </x:row>
    <x:row r="13">
      <x:c r="A13" s="8" t="n">
        <x:v>9</x:v>
      </x:c>
      <x:c r="B13" s="9" t="n">
        <x:v>0.104381926665</x:v>
      </x:c>
      <x:c r="C13" s="9" t="n">
        <x:v>0.0903179956968</x:v>
      </x:c>
      <x:c r="D13" s="9" t="n">
        <x:f>B13-C13</x:f>
        <x:v>0.014063930968199995</x:v>
      </x:c>
      <x:c r="E13" s="55" t="n">
        <x:f>IF(B13=0,0,D13/B13)</x:f>
        <x:v>0.1347353073232335</x:v>
      </x:c>
      <x:c r="F13" s="9" t="n">
        <x:v>0.137248208085</x:v>
      </x:c>
      <x:c r="G13" s="9" t="n">
        <x:v>0.0934156934007</x:v>
      </x:c>
      <x:c r="H13" s="9" t="n">
        <x:f>F13-G13</x:f>
        <x:v>0.043832514684299995</x:v>
      </x:c>
      <x:c r="I13" s="55" t="n">
        <x:f>IF(F13=0,0,H13/F13)</x:f>
        <x:v>0.31936675382423807</x:v>
      </x:c>
      <x:c r="J13" s="9" t="n">
        <x:v>23.44</x:v>
      </x:c>
      <x:c r="K13" s="9" t="n">
        <x:v>23.48</x:v>
      </x:c>
      <x:c r="L13" s="9" t="n">
        <x:f>J13-K13</x:f>
        <x:v>-0.03999999999999915</x:v>
      </x:c>
      <x:c r="M13" s="55" t="n">
        <x:f>IF(J13=0,0,L13/J13)</x:f>
        <x:v>-0.0017064846416381888</x:v>
      </x:c>
    </x:row>
    <x:row r="14">
      <x:c r="A14" s="8" t="n">
        <x:v>10</x:v>
      </x:c>
      <x:c r="B14" s="9" t="n">
        <x:v>0.104263353879</x:v>
      </x:c>
      <x:c r="C14" s="9" t="n">
        <x:v>0.0910320895544</x:v>
      </x:c>
      <x:c r="D14" s="9" t="n">
        <x:f>B14-C14</x:f>
        <x:v>0.013231264324600006</x:v>
      </x:c>
      <x:c r="E14" s="55" t="n">
        <x:f>IF(B14=0,0,D14/B14)</x:f>
        <x:v>0.12690234710802792</x:v>
      </x:c>
      <x:c r="F14" s="9" t="n">
        <x:v>0.134146071669</x:v>
      </x:c>
      <x:c r="G14" s="9" t="n">
        <x:v>0.0928229430191</x:v>
      </x:c>
      <x:c r="H14" s="9" t="n">
        <x:f>F14-G14</x:f>
        <x:v>0.041323128649899996</x:v>
      </x:c>
      <x:c r="I14" s="55" t="n">
        <x:f>IF(F14=0,0,H14/F14)</x:f>
        <x:v>0.3080457603847181</x:v>
      </x:c>
      <x:c r="J14" s="9" t="n">
        <x:v>23.33</x:v>
      </x:c>
      <x:c r="K14" s="9" t="n">
        <x:v>22.91</x:v>
      </x:c>
      <x:c r="L14" s="9" t="n">
        <x:f>J14-K14</x:f>
        <x:v>0.41999999999999815</x:v>
      </x:c>
      <x:c r="M14" s="55" t="n">
        <x:f>IF(J14=0,0,L14/J14)</x:f>
        <x:v>0.018002571795970774</x:v>
      </x:c>
    </x:row>
    <x:row r="15">
      <x:c r="A15" s="56" t="str">
        <x:v>平均</x:v>
      </x:c>
      <x:c r="B15" s="57" t="n">
        <x:f>AVERAGE(B5:B14)</x:f>
        <x:v>0.1045439796981</x:v>
      </x:c>
      <x:c r="C15" s="57" t="n">
        <x:f>AVERAGE(C5:C14)</x:f>
        <x:v>0.09014579641348</x:v>
      </x:c>
      <x:c r="D15" s="57" t="n">
        <x:f>AVERAGE(D5:D14)</x:f>
        <x:v>0.014398183284620003</x:v>
      </x:c>
      <x:c r="E15" s="58" t="n">
        <x:f>AVERAGE(E5:E14)</x:f>
        <x:v>0.13768384197560019</x:v>
      </x:c>
      <x:c r="F15" s="57" t="n">
        <x:f>AVERAGE(F5:F14)</x:f>
        <x:v>0.13488436408159998</x:v>
      </x:c>
      <x:c r="G15" s="57" t="n">
        <x:f>AVERAGE(G5:G14)</x:f>
        <x:v>0.09318120384112999</x:v>
      </x:c>
      <x:c r="H15" s="57" t="n">
        <x:f>AVERAGE(H5:H14)</x:f>
        <x:v>0.04170316024047</x:v>
      </x:c>
      <x:c r="I15" s="58" t="n">
        <x:f>AVERAGE(I5:I14)</x:f>
        <x:v>0.30884197964858595</x:v>
      </x:c>
      <x:c r="J15" s="57" t="n">
        <x:f>AVERAGE(J5:J14)</x:f>
        <x:v>23.232</x:v>
      </x:c>
      <x:c r="K15" s="57" t="n">
        <x:f>AVERAGE(K5:K14)</x:f>
        <x:v>23.130999999999993</x:v>
      </x:c>
      <x:c r="L15" s="57" t="n">
        <x:f>AVERAGE(L5:L14)</x:f>
        <x:v>0.10099999999999945</x:v>
      </x:c>
      <x:c r="M15" s="58" t="n">
        <x:f>AVERAGE(M5:M14)</x:f>
        <x:v>0.004251315260270938</x:v>
      </x:c>
    </x:row>
  </x:sheetData>
  <x:mergeCells>
    <x:mergeCell ref="A1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15" t="str">
        <x:v>実験条件・定義・発表時の注意</x:v>
      </x:c>
      <x:c r="B1" s="15" t="str">
        <x:v>実験条件・定義・発表時の注意</x:v>
      </x:c>
      <x:c r="C1" s="15" t="str">
        <x:v>実験条件・定義・発表時の注意</x:v>
      </x:c>
      <x:c r="D1" s="15" t="str">
        <x:v>実験条件・定義・発表時の注意</x:v>
      </x:c>
      <x:c r="E1" s="15" t="str">
        <x:v>実験条件・定義・発表時の注意</x:v>
      </x:c>
      <x:c r="F1" s="15" t="str">
        <x:v>実験条件・定義・発表時の注意</x:v>
      </x:c>
      <x:c r="G1" s="15" t="str">
        <x:v>実験条件・定義・発表時の注意</x:v>
      </x:c>
      <x:c r="H1" s="15" t="str">
        <x:v>実験条件・定義・発表時の注意</x:v>
      </x:c>
    </x:row>
    <x:row r="2" ht="30" customHeight="1">
      <x:c r="A2" s="15" t="str">
        <x:v>実験条件・定義・発表時の注意</x:v>
      </x:c>
      <x:c r="B2" s="15" t="str">
        <x:v>実験条件・定義・発表時の注意</x:v>
      </x:c>
      <x:c r="C2" s="15" t="str">
        <x:v>実験条件・定義・発表時の注意</x:v>
      </x:c>
      <x:c r="D2" s="15" t="str">
        <x:v>実験条件・定義・発表時の注意</x:v>
      </x:c>
      <x:c r="E2" s="15" t="str">
        <x:v>実験条件・定義・発表時の注意</x:v>
      </x:c>
      <x:c r="F2" s="15" t="str">
        <x:v>実験条件・定義・発表時の注意</x:v>
      </x:c>
      <x:c r="G2" s="15" t="str">
        <x:v>実験条件・定義・発表時の注意</x:v>
      </x:c>
      <x:c r="H2" s="15" t="str">
        <x:v>実験条件・定義・発表時の注意</x:v>
      </x:c>
    </x:row>
    <x:row r="4">
      <x:c r="A4" s="5" t="str">
        <x:v>項目</x:v>
      </x:c>
      <x:c r="B4" s="5" t="str">
        <x:v>内容</x:v>
      </x:c>
    </x:row>
    <x:row r="5">
      <x:c r="A5" s="61" t="str">
        <x:v>計算機</x:v>
      </x:c>
      <x:c r="B5" s="59" t="str">
        <x:v>富岳（Fujitsu A64FX）</x:v>
      </x:c>
    </x:row>
    <x:row r="6">
      <x:c r="A6" s="61" t="str">
        <x:v>資源</x:v>
      </x:c>
      <x:c r="B6" s="59" t="str">
        <x:v>1ノード、MPI 4プロセス × OpenMP 12スレッド</x:v>
      </x:c>
    </x:row>
    <x:row r="7">
      <x:c r="A7" s="61" t="str">
        <x:v>格子</x:v>
      </x:c>
      <x:c r="B7" s="59" t="str">
        <x:v>8 × 8 × 8 × 8</x:v>
      </x:c>
    </x:row>
    <x:row r="8">
      <x:c r="A8" s="61" t="str">
        <x:v>比較</x:v>
      </x:c>
      <x:c r="B8" s="59" t="str">
        <x:v>融合なし vs CG融合＋D†D内部融合を同時に有効化</x:v>
      </x:c>
    </x:row>
    <x:row r="9">
      <x:c r="A9" s="61" t="str">
        <x:v>反復・呼出回数</x:v>
      </x:c>
      <x:c r="B9" s="59" t="str">
        <x:v>CG反復 5,549回、D†D呼出 7,779回（両条件で同一）</x:v>
      </x:c>
    </x:row>
    <x:row r="10">
      <x:c r="A10" s="61" t="str">
        <x:v>試行数</x:v>
      </x:c>
      <x:c r="B10" s="59" t="str">
        <x:v>各条件10回、合計20実行。組ごとに投入順序を交互化</x:v>
      </x:c>
    </x:row>
    <x:row r="11">
      <x:c r="A11" s="61" t="str">
        <x:v>正常性</x:v>
      </x:c>
      <x:c r="B11" s="59" t="str">
        <x:v>全20実行 exit code 0、H(diff)=0.00083995で一致</x:v>
      </x:c>
    </x:row>
    <x:row r="12">
      <x:c r="A12" s="61" t="str">
        <x:v>局所結果</x:v>
      </x:c>
      <x:c r="B12" s="59" t="str">
        <x:v>CG残差更新 13.77%短縮、D†D combine部 30.92%短縮</x:v>
      </x:c>
    </x:row>
    <x:row r="13">
      <x:c r="A13" s="61" t="str">
        <x:v>全体結果</x:v>
      </x:c>
      <x:c r="B13" s="59" t="str">
        <x:v>Main平均 0.43%短縮。ただしペア差のばらつきが平均差より大きい</x:v>
      </x:c>
    </x:row>
    <x:row r="14">
      <x:c r="A14" s="61" t="str">
        <x:v>解釈</x:v>
      </x:c>
      <x:c r="B14" s="59" t="str">
        <x:v>融合対象関数自体は高速化したが、全体時間に占める割合が小さいため、HMC全体への効果は限定的</x:v>
      </x:c>
    </x:row>
    <x:row r="15">
      <x:c r="A15" s="61" t="str">
        <x:v>注意</x:v>
      </x:c>
      <x:c r="B15" s="59" t="str">
        <x:v>同時適用条件なので、CG融合とD†D融合それぞれの個別寄与はこのExcelだけでは分離できない</x:v>
      </x:c>
    </x:row>
    <x:row r="16">
      <x:c r="A16" s="61" t="str">
        <x:v>元データ</x:v>
      </x:c>
      <x:c r="B16" s="59" t="str">
        <x:v>C:\Users\intern1.UNGI-7.003\.codex\.chatgpt-projects\g-p-6a83af9bbec48191a002aa93b775db77\outputs\fair_combined_fusion_10nodes_20260825\fugaku_fair_combined_fusion_paired_10nodes_20260825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15" t="str">
        <x:v>予備資料：10回測定の記述統計</x:v>
      </x:c>
      <x:c r="B1" s="15" t="str">
        <x:v>予備資料：10回測定の記述統計</x:v>
      </x:c>
      <x:c r="C1" s="15" t="str">
        <x:v>予備資料：10回測定の記述統計</x:v>
      </x:c>
      <x:c r="D1" s="15" t="str">
        <x:v>予備資料：10回測定の記述統計</x:v>
      </x:c>
      <x:c r="E1" s="15" t="str">
        <x:v>予備資料：10回測定の記述統計</x:v>
      </x:c>
      <x:c r="F1" s="15" t="str">
        <x:v>予備資料：10回測定の記述統計</x:v>
      </x:c>
      <x:c r="G1" s="15" t="str">
        <x:v>予備資料：10回測定の記述統計</x:v>
      </x:c>
      <x:c r="H1" s="15" t="str">
        <x:v>予備資料：10回測定の記述統計</x:v>
      </x:c>
      <x:c r="I1" s="15" t="str">
        <x:v>予備資料：10回測定の記述統計</x:v>
      </x:c>
      <x:c r="J1" s="15" t="str">
        <x:v>予備資料：10回測定の記述統計</x:v>
      </x:c>
      <x:c r="K1" s="15" t="str">
        <x:v>予備資料：10回測定の記述統計</x:v>
      </x:c>
      <x:c r="L1" s="15" t="str">
        <x:v>予備資料：10回測定の記述統計</x:v>
      </x:c>
      <x:c r="M1" s="15" t="str">
        <x:v>予備資料：10回測定の記述統計</x:v>
      </x:c>
      <x:c r="N1" s="15" t="str">
        <x:v>予備資料：10回測定の記述統計</x:v>
      </x:c>
      <x:c r="O1" s="15" t="str">
        <x:v>予備資料：10回測定の記述統計</x:v>
      </x:c>
      <x:c r="P1" s="15" t="str">
        <x:v>予備資料：10回測定の記述統計</x:v>
      </x:c>
    </x:row>
    <x:row r="2" ht="30" customHeight="1">
      <x:c r="A2" s="15" t="str">
        <x:v>予備資料：10回測定の記述統計</x:v>
      </x:c>
      <x:c r="B2" s="15" t="str">
        <x:v>予備資料：10回測定の記述統計</x:v>
      </x:c>
      <x:c r="C2" s="15" t="str">
        <x:v>予備資料：10回測定の記述統計</x:v>
      </x:c>
      <x:c r="D2" s="15" t="str">
        <x:v>予備資料：10回測定の記述統計</x:v>
      </x:c>
      <x:c r="E2" s="15" t="str">
        <x:v>予備資料：10回測定の記述統計</x:v>
      </x:c>
      <x:c r="F2" s="15" t="str">
        <x:v>予備資料：10回測定の記述統計</x:v>
      </x:c>
      <x:c r="G2" s="15" t="str">
        <x:v>予備資料：10回測定の記述統計</x:v>
      </x:c>
      <x:c r="H2" s="15" t="str">
        <x:v>予備資料：10回測定の記述統計</x:v>
      </x:c>
      <x:c r="I2" s="15" t="str">
        <x:v>予備資料：10回測定の記述統計</x:v>
      </x:c>
      <x:c r="J2" s="15" t="str">
        <x:v>予備資料：10回測定の記述統計</x:v>
      </x:c>
      <x:c r="K2" s="15" t="str">
        <x:v>予備資料：10回測定の記述統計</x:v>
      </x:c>
      <x:c r="L2" s="15" t="str">
        <x:v>予備資料：10回測定の記述統計</x:v>
      </x:c>
      <x:c r="M2" s="15" t="str">
        <x:v>予備資料：10回測定の記述統計</x:v>
      </x:c>
      <x:c r="N2" s="15" t="str">
        <x:v>予備資料：10回測定の記述統計</x:v>
      </x:c>
      <x:c r="O2" s="15" t="str">
        <x:v>予備資料：10回測定の記述統計</x:v>
      </x:c>
      <x:c r="P2" s="15" t="str">
        <x:v>予備資料：10回測定の記述統計</x:v>
      </x:c>
    </x:row>
    <x:row r="3">
      <x:c r="A3" s="49" t="str">
        <x:v>標準偏差は標本標準偏差（STDEV.S）。変動係数＝標準偏差÷平均。平均差＝融合なし－融合あり。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</x:row>
    <x:row r="5" ht="42" customHeight="1">
      <x:c r="A5" s="7" t="str">
        <x:v>測定項目</x:v>
      </x:c>
      <x:c r="B5" s="7" t="str">
        <x:v>単位</x:v>
      </x:c>
      <x:c r="C5" s="7" t="str">
        <x:v>融合なし N</x:v>
      </x:c>
      <x:c r="D5" s="7" t="str">
        <x:v>融合なし 平均</x:v>
      </x:c>
      <x:c r="E5" s="7" t="str">
        <x:v>融合なし 標準偏差</x:v>
      </x:c>
      <x:c r="F5" s="7" t="str">
        <x:v>融合なし 変動係数</x:v>
      </x:c>
      <x:c r="G5" s="7" t="str">
        <x:v>融合なし 最小</x:v>
      </x:c>
      <x:c r="H5" s="7" t="str">
        <x:v>融合なし 最大</x:v>
      </x:c>
      <x:c r="I5" s="7" t="str">
        <x:v>融合あり N</x:v>
      </x:c>
      <x:c r="J5" s="7" t="str">
        <x:v>融合あり 平均</x:v>
      </x:c>
      <x:c r="K5" s="7" t="str">
        <x:v>融合あり 標準偏差</x:v>
      </x:c>
      <x:c r="L5" s="7" t="str">
        <x:v>融合あり 変動係数</x:v>
      </x:c>
      <x:c r="M5" s="7" t="str">
        <x:v>融合あり 最小</x:v>
      </x:c>
      <x:c r="N5" s="7" t="str">
        <x:v>融合あり 最大</x:v>
      </x:c>
      <x:c r="O5" s="7" t="str">
        <x:v>平均差</x:v>
      </x:c>
      <x:c r="P5" s="7" t="str">
        <x:v>短縮率</x:v>
      </x:c>
    </x:row>
    <x:row r="6">
      <x:c r="A6" s="8" t="str">
        <x:v>終了コード</x:v>
      </x:c>
      <x:c r="B6" s="8" t="str">
        <x:v>回</x:v>
      </x:c>
      <x:c r="C6" s="62" t="n">
        <x:f>10</x:f>
        <x:v>10</x:v>
      </x:c>
      <x:c r="D6" s="9" t="n">
        <x:f>AVERAGE('03_10回結果'!E2,'03_10回結果'!E4,'03_10回結果'!E6,'03_10回結果'!E8,'03_10回結果'!E10,'03_10回結果'!E12,'03_10回結果'!E14,'03_10回結果'!E16,'03_10回結果'!E18,'03_10回結果'!E20)</x:f>
        <x:v>0</x:v>
      </x:c>
      <x:c r="E6" s="9" t="n">
        <x:f>STDEV.S('03_10回結果'!E2,'03_10回結果'!E4,'03_10回結果'!E6,'03_10回結果'!E8,'03_10回結果'!E10,'03_10回結果'!E12,'03_10回結果'!E14,'03_10回結果'!E16,'03_10回結果'!E18,'03_10回結果'!E20)</x:f>
        <x:v>0</x:v>
      </x:c>
      <x:c r="F6" s="55" t="n">
        <x:f>IF(D6=0,0,E6/D6)</x:f>
        <x:v>0</x:v>
      </x:c>
      <x:c r="G6" s="9" t="n">
        <x:f>MIN('03_10回結果'!E2,'03_10回結果'!E4,'03_10回結果'!E6,'03_10回結果'!E8,'03_10回結果'!E10,'03_10回結果'!E12,'03_10回結果'!E14,'03_10回結果'!E16,'03_10回結果'!E18,'03_10回結果'!E20)</x:f>
        <x:v>0</x:v>
      </x:c>
      <x:c r="H6" s="9" t="n">
        <x:f>MAX('03_10回結果'!E2,'03_10回結果'!E4,'03_10回結果'!E6,'03_10回結果'!E8,'03_10回結果'!E10,'03_10回結果'!E12,'03_10回結果'!E14,'03_10回結果'!E16,'03_10回結果'!E18,'03_10回結果'!E20)</x:f>
        <x:v>0</x:v>
      </x:c>
      <x:c r="I6" s="62" t="n">
        <x:f>10</x:f>
        <x:v>10</x:v>
      </x:c>
      <x:c r="J6" s="9" t="n">
        <x:f>AVERAGE('03_10回結果'!E3,'03_10回結果'!E5,'03_10回結果'!E7,'03_10回結果'!E9,'03_10回結果'!E11,'03_10回結果'!E13,'03_10回結果'!E15,'03_10回結果'!E17,'03_10回結果'!E19,'03_10回結果'!E21)</x:f>
        <x:v>0</x:v>
      </x:c>
      <x:c r="K6" s="9" t="n">
        <x:f>STDEV.S('03_10回結果'!E3,'03_10回結果'!E5,'03_10回結果'!E7,'03_10回結果'!E9,'03_10回結果'!E11,'03_10回結果'!E13,'03_10回結果'!E15,'03_10回結果'!E17,'03_10回結果'!E19,'03_10回結果'!E21)</x:f>
        <x:v>0</x:v>
      </x:c>
      <x:c r="L6" s="55" t="n">
        <x:f>IF(J6=0,0,K6/J6)</x:f>
        <x:v>0</x:v>
      </x:c>
      <x:c r="M6" s="9" t="n">
        <x:f>MIN('03_10回結果'!E3,'03_10回結果'!E5,'03_10回結果'!E7,'03_10回結果'!E9,'03_10回結果'!E11,'03_10回結果'!E13,'03_10回結果'!E15,'03_10回結果'!E17,'03_10回結果'!E19,'03_10回結果'!E21)</x:f>
        <x:v>0</x:v>
      </x:c>
      <x:c r="N6" s="9" t="n">
        <x:f>MAX('03_10回結果'!E3,'03_10回結果'!E5,'03_10回結果'!E7,'03_10回結果'!E9,'03_10回結果'!E11,'03_10回結果'!E13,'03_10回結果'!E15,'03_10回結果'!E17,'03_10回結果'!E19,'03_10回結果'!E21)</x:f>
        <x:v>0</x:v>
      </x:c>
      <x:c r="O6" s="9" t="n">
        <x:f>D6-J6</x:f>
        <x:v>0</x:v>
      </x:c>
      <x:c r="P6" s="55" t="n">
        <x:f>IF(D6=0,0,O6/D6)</x:f>
        <x:v>0</x:v>
      </x:c>
    </x:row>
    <x:row r="7">
      <x:c r="A7" s="8" t="str">
        <x:v>H(diff)</x:v>
      </x:c>
      <x:c r="B7" s="8" t="str">
        <x:v>-</x:v>
      </x:c>
      <x:c r="C7" s="62" t="n">
        <x:f>10</x:f>
        <x:v>10</x:v>
      </x:c>
      <x:c r="D7" s="9" t="n">
        <x:f>AVERAGE('03_10回結果'!F2,'03_10回結果'!F4,'03_10回結果'!F6,'03_10回結果'!F8,'03_10回結果'!F10,'03_10回結果'!F12,'03_10回結果'!F14,'03_10回結果'!F16,'03_10回結果'!F18,'03_10回結果'!F20)</x:f>
        <x:v>0.0008399500000000001</x:v>
      </x:c>
      <x:c r="E7" s="9" t="n">
        <x:f>STDEV.S('03_10回結果'!F2,'03_10回結果'!F4,'03_10回結果'!F6,'03_10回結果'!F8,'03_10回結果'!F10,'03_10回結果'!F12,'03_10回結果'!F14,'03_10回結果'!F16,'03_10回結果'!F18,'03_10回結果'!F20)</x:f>
        <x:v>1.142849436385645e-19</x:v>
      </x:c>
      <x:c r="F7" s="55" t="n">
        <x:f>IF(D7=0,0,E7/D7)</x:f>
        <x:v>1.3606160323657895e-16</x:v>
      </x:c>
      <x:c r="G7" s="9" t="n">
        <x:f>MIN('03_10回結果'!F2,'03_10回結果'!F4,'03_10回結果'!F6,'03_10回結果'!F8,'03_10回結果'!F10,'03_10回結果'!F12,'03_10回結果'!F14,'03_10回結果'!F16,'03_10回結果'!F18,'03_10回結果'!F20)</x:f>
        <x:v>0.00083995</x:v>
      </x:c>
      <x:c r="H7" s="9" t="n">
        <x:f>MAX('03_10回結果'!F2,'03_10回結果'!F4,'03_10回結果'!F6,'03_10回結果'!F8,'03_10回結果'!F10,'03_10回結果'!F12,'03_10回結果'!F14,'03_10回結果'!F16,'03_10回結果'!F18,'03_10回結果'!F20)</x:f>
        <x:v>0.00083995</x:v>
      </x:c>
      <x:c r="I7" s="62" t="n">
        <x:f>10</x:f>
        <x:v>10</x:v>
      </x:c>
      <x:c r="J7" s="9" t="n">
        <x:f>AVERAGE('03_10回結果'!F3,'03_10回結果'!F5,'03_10回結果'!F7,'03_10回結果'!F9,'03_10回結果'!F11,'03_10回結果'!F13,'03_10回結果'!F15,'03_10回結果'!F17,'03_10回結果'!F19,'03_10回結果'!F21)</x:f>
        <x:v>0.0008399500000000001</x:v>
      </x:c>
      <x:c r="K7" s="9" t="n">
        <x:f>STDEV.S('03_10回結果'!F3,'03_10回結果'!F5,'03_10回結果'!F7,'03_10回結果'!F9,'03_10回結果'!F11,'03_10回結果'!F13,'03_10回結果'!F15,'03_10回結果'!F17,'03_10回結果'!F19,'03_10回結果'!F21)</x:f>
        <x:v>1.142849436385645e-19</x:v>
      </x:c>
      <x:c r="L7" s="55" t="n">
        <x:f>IF(J7=0,0,K7/J7)</x:f>
        <x:v>1.3606160323657895e-16</x:v>
      </x:c>
      <x:c r="M7" s="9" t="n">
        <x:f>MIN('03_10回結果'!F3,'03_10回結果'!F5,'03_10回結果'!F7,'03_10回結果'!F9,'03_10回結果'!F11,'03_10回結果'!F13,'03_10回結果'!F15,'03_10回結果'!F17,'03_10回結果'!F19,'03_10回結果'!F21)</x:f>
        <x:v>0.00083995</x:v>
      </x:c>
      <x:c r="N7" s="9" t="n">
        <x:f>MAX('03_10回結果'!F3,'03_10回結果'!F5,'03_10回結果'!F7,'03_10回結果'!F9,'03_10回結果'!F11,'03_10回結果'!F13,'03_10回結果'!F15,'03_10回結果'!F17,'03_10回結果'!F19,'03_10回結果'!F21)</x:f>
        <x:v>0.00083995</x:v>
      </x:c>
      <x:c r="O7" s="9" t="n">
        <x:f>D7-J7</x:f>
        <x:v>0</x:v>
      </x:c>
      <x:c r="P7" s="55" t="n">
        <x:f>IF(D7=0,0,O7/D7)</x:f>
        <x:v>0</x:v>
      </x:c>
    </x:row>
    <x:row r="8">
      <x:c r="A8" s="8" t="str">
        <x:v>Trajectory</x:v>
      </x:c>
      <x:c r="B8" s="8" t="str">
        <x:v>秒</x:v>
      </x:c>
      <x:c r="C8" s="62" t="n">
        <x:f>10</x:f>
        <x:v>10</x:v>
      </x:c>
      <x:c r="D8" s="9" t="n">
        <x:f>AVERAGE('03_10回結果'!G2,'03_10回結果'!G4,'03_10回結果'!G6,'03_10回結果'!G8,'03_10回結果'!G10,'03_10回結果'!G12,'03_10回結果'!G14,'03_10回結果'!G16,'03_10回結果'!G18,'03_10回結果'!G20)</x:f>
        <x:v>22.819</x:v>
      </x:c>
      <x:c r="E8" s="9" t="n">
        <x:f>STDEV.S('03_10回結果'!G2,'03_10回結果'!G4,'03_10回結果'!G6,'03_10回結果'!G8,'03_10回結果'!G10,'03_10回結果'!G12,'03_10回結果'!G14,'03_10回結果'!G16,'03_10回結果'!G18,'03_10回結果'!G20)</x:f>
        <x:v>0.16346593257040093</x:v>
      </x:c>
      <x:c r="F8" s="55" t="n">
        <x:f>IF(D8=0,0,E8/D8)</x:f>
        <x:v>0.007163588788746261</x:v>
      </x:c>
      <x:c r="G8" s="9" t="n">
        <x:f>MIN('03_10回結果'!G2,'03_10回結果'!G4,'03_10回結果'!G6,'03_10回結果'!G8,'03_10回結果'!G10,'03_10回結果'!G12,'03_10回結果'!G14,'03_10回結果'!G16,'03_10回結果'!G18,'03_10回結果'!G20)</x:f>
        <x:v>22.59</x:v>
      </x:c>
      <x:c r="H8" s="9" t="n">
        <x:f>MAX('03_10回結果'!G2,'03_10回結果'!G4,'03_10回結果'!G6,'03_10回結果'!G8,'03_10回結果'!G10,'03_10回結果'!G12,'03_10回結果'!G14,'03_10回結果'!G16,'03_10回結果'!G18,'03_10回結果'!G20)</x:f>
        <x:v>22.99</x:v>
      </x:c>
      <x:c r="I8" s="62" t="n">
        <x:f>10</x:f>
        <x:v>10</x:v>
      </x:c>
      <x:c r="J8" s="9" t="n">
        <x:f>AVERAGE('03_10回結果'!G3,'03_10回結果'!G5,'03_10回結果'!G7,'03_10回結果'!G9,'03_10回結果'!G11,'03_10回結果'!G13,'03_10回結果'!G15,'03_10回結果'!G17,'03_10回結果'!G19,'03_10回結果'!G21)</x:f>
        <x:v>22.738999999999997</x:v>
      </x:c>
      <x:c r="K8" s="9" t="n">
        <x:f>STDEV.S('03_10回結果'!G3,'03_10回結果'!G5,'03_10回結果'!G7,'03_10回結果'!G9,'03_10回結果'!G11,'03_10回結果'!G13,'03_10回結果'!G15,'03_10回結果'!G17,'03_10回結果'!G19,'03_10回結果'!G21)</x:f>
        <x:v>0.22372850610604905</x:v>
      </x:c>
      <x:c r="L8" s="55" t="n">
        <x:f>IF(J8=0,0,K8/J8)</x:f>
        <x:v>0.009838977356350283</x:v>
      </x:c>
      <x:c r="M8" s="9" t="n">
        <x:f>MIN('03_10回結果'!G3,'03_10回結果'!G5,'03_10回結果'!G7,'03_10回結果'!G9,'03_10回結果'!G11,'03_10回結果'!G13,'03_10回結果'!G15,'03_10回結果'!G17,'03_10回結果'!G19,'03_10回結果'!G21)</x:f>
        <x:v>22.55</x:v>
      </x:c>
      <x:c r="N8" s="9" t="n">
        <x:f>MAX('03_10回結果'!G3,'03_10回結果'!G5,'03_10回結果'!G7,'03_10回結果'!G9,'03_10回結果'!G11,'03_10回結果'!G13,'03_10回結果'!G15,'03_10回結果'!G17,'03_10回結果'!G19,'03_10回結果'!G21)</x:f>
        <x:v>23.15</x:v>
      </x:c>
      <x:c r="O8" s="9" t="n">
        <x:f>D8-J8</x:f>
        <x:v>0.08000000000000185</x:v>
      </x:c>
      <x:c r="P8" s="55" t="n">
        <x:f>IF(D8=0,0,O8/D8)</x:f>
        <x:v>0.0035058503878347804</x:v>
      </x:c>
    </x:row>
    <x:row r="9">
      <x:c r="A9" s="8" t="str">
        <x:v>update_Nf2p1_eo</x:v>
      </x:c>
      <x:c r="B9" s="8" t="str">
        <x:v>秒</x:v>
      </x:c>
      <x:c r="C9" s="62" t="n">
        <x:f>10</x:f>
        <x:v>10</x:v>
      </x:c>
      <x:c r="D9" s="9" t="n">
        <x:f>AVERAGE('03_10回結果'!H2,'03_10回結果'!H4,'03_10回結果'!H6,'03_10回結果'!H8,'03_10回結果'!H10,'03_10回結果'!H12,'03_10回結果'!H14,'03_10回結果'!H16,'03_10回結果'!H18,'03_10回結果'!H20)</x:f>
        <x:v>22.927999999999997</x:v>
      </x:c>
      <x:c r="E9" s="9" t="n">
        <x:f>STDEV.S('03_10回結果'!H2,'03_10回結果'!H4,'03_10回結果'!H6,'03_10回結果'!H8,'03_10回結果'!H10,'03_10回結果'!H12,'03_10回結果'!H14,'03_10回結果'!H16,'03_10回結果'!H18,'03_10回結果'!H20)</x:f>
        <x:v>0.15739546795677875</x:v>
      </x:c>
      <x:c r="F9" s="55" t="n">
        <x:f>IF(D9=0,0,E9/D9)</x:f>
        <x:v>0.006864770933216101</x:v>
      </x:c>
      <x:c r="G9" s="9" t="n">
        <x:f>MIN('03_10回結果'!H2,'03_10回結果'!H4,'03_10回結果'!H6,'03_10回結果'!H8,'03_10回結果'!H10,'03_10回結果'!H12,'03_10回結果'!H14,'03_10回結果'!H16,'03_10回結果'!H18,'03_10回結果'!H20)</x:f>
        <x:v>22.7</x:v>
      </x:c>
      <x:c r="H9" s="9" t="n">
        <x:f>MAX('03_10回結果'!H2,'03_10回結果'!H4,'03_10回結果'!H6,'03_10回結果'!H8,'03_10回結果'!H10,'03_10回結果'!H12,'03_10回結果'!H14,'03_10回結果'!H16,'03_10回結果'!H18,'03_10回結果'!H20)</x:f>
        <x:v>23.1</x:v>
      </x:c>
      <x:c r="I9" s="62" t="n">
        <x:f>10</x:f>
        <x:v>10</x:v>
      </x:c>
      <x:c r="J9" s="9" t="n">
        <x:f>AVERAGE('03_10回結果'!H3,'03_10回結果'!H5,'03_10回結果'!H7,'03_10回結果'!H9,'03_10回結果'!H11,'03_10回結果'!H13,'03_10回結果'!H15,'03_10回結果'!H17,'03_10回結果'!H19,'03_10回結果'!H21)</x:f>
        <x:v>22.845999999999997</x:v>
      </x:c>
      <x:c r="K9" s="9" t="n">
        <x:f>STDEV.S('03_10回結果'!H3,'03_10回結果'!H5,'03_10回結果'!H7,'03_10回結果'!H9,'03_10回結果'!H11,'03_10回結果'!H13,'03_10回結果'!H15,'03_10回結果'!H17,'03_10回結果'!H19,'03_10回結果'!H21)</x:f>
        <x:v>0.21156559266572583</x:v>
      </x:c>
      <x:c r="L9" s="55" t="n">
        <x:f>IF(J9=0,0,K9/J9)</x:f>
        <x:v>0.009260509177349465</x:v>
      </x:c>
      <x:c r="M9" s="9" t="n">
        <x:f>MIN('03_10回結果'!H3,'03_10回結果'!H5,'03_10回結果'!H7,'03_10回結果'!H9,'03_10回結果'!H11,'03_10回結果'!H13,'03_10回結果'!H15,'03_10回結果'!H17,'03_10回結果'!H19,'03_10回結果'!H21)</x:f>
        <x:v>22.66</x:v>
      </x:c>
      <x:c r="N9" s="9" t="n">
        <x:f>MAX('03_10回結果'!H3,'03_10回結果'!H5,'03_10回結果'!H7,'03_10回結果'!H9,'03_10回結果'!H11,'03_10回結果'!H13,'03_10回結果'!H15,'03_10回結果'!H17,'03_10回結果'!H19,'03_10回結果'!H21)</x:f>
        <x:v>23.24</x:v>
      </x:c>
      <x:c r="O9" s="9" t="n">
        <x:f>D9-J9</x:f>
        <x:v>0.08200000000000074</x:v>
      </x:c>
      <x:c r="P9" s="55" t="n">
        <x:f>IF(D9=0,0,O9/D9)</x:f>
        <x:v>0.0035764131193301092</x:v>
      </x:c>
    </x:row>
    <x:row r="10">
      <x:c r="A10" s="8" t="str">
        <x:v>Main</x:v>
      </x:c>
      <x:c r="B10" s="8" t="str">
        <x:v>秒</x:v>
      </x:c>
      <x:c r="C10" s="62" t="n">
        <x:f>10</x:f>
        <x:v>10</x:v>
      </x:c>
      <x:c r="D10" s="9" t="n">
        <x:f>AVERAGE('03_10回結果'!I2,'03_10回結果'!I4,'03_10回結果'!I6,'03_10回結果'!I8,'03_10回結果'!I10,'03_10回結果'!I12,'03_10回結果'!I14,'03_10回結果'!I16,'03_10回結果'!I18,'03_10回結果'!I20)</x:f>
        <x:v>23.232</x:v>
      </x:c>
      <x:c r="E10" s="9" t="n">
        <x:f>STDEV.S('03_10回結果'!I2,'03_10回結果'!I4,'03_10回結果'!I6,'03_10回結果'!I8,'03_10回結果'!I10,'03_10回結果'!I12,'03_10回結果'!I14,'03_10回結果'!I16,'03_10回結果'!I18,'03_10回結果'!I20)</x:f>
        <x:v>0.20969819582755864</x:v>
      </x:c>
      <x:c r="F10" s="55" t="n">
        <x:f>IF(D10=0,0,E10/D10)</x:f>
        <x:v>0.009026265316268881</x:v>
      </x:c>
      <x:c r="G10" s="9" t="n">
        <x:f>MIN('03_10回結果'!I2,'03_10回結果'!I4,'03_10回結果'!I6,'03_10回結果'!I8,'03_10回結果'!I10,'03_10回結果'!I12,'03_10回結果'!I14,'03_10回結果'!I16,'03_10回結果'!I18,'03_10回結果'!I20)</x:f>
        <x:v>22.92</x:v>
      </x:c>
      <x:c r="H10" s="9" t="n">
        <x:f>MAX('03_10回結果'!I2,'03_10回結果'!I4,'03_10回結果'!I6,'03_10回結果'!I8,'03_10回結果'!I10,'03_10回結果'!I12,'03_10回結果'!I14,'03_10回結果'!I16,'03_10回結果'!I18,'03_10回結果'!I20)</x:f>
        <x:v>23.44</x:v>
      </x:c>
      <x:c r="I10" s="62" t="n">
        <x:f>10</x:f>
        <x:v>10</x:v>
      </x:c>
      <x:c r="J10" s="9" t="n">
        <x:f>AVERAGE('03_10回結果'!I3,'03_10回結果'!I5,'03_10回結果'!I7,'03_10回結果'!I9,'03_10回結果'!I11,'03_10回結果'!I13,'03_10回結果'!I15,'03_10回結果'!I17,'03_10回結果'!I19,'03_10回結果'!I21)</x:f>
        <x:v>23.130999999999993</x:v>
      </x:c>
      <x:c r="K10" s="9" t="n">
        <x:f>STDEV.S('03_10回結果'!I3,'03_10回結果'!I5,'03_10回結果'!I7,'03_10回結果'!I9,'03_10回結果'!I11,'03_10回結果'!I13,'03_10回結果'!I15,'03_10回結果'!I17,'03_10回結果'!I19,'03_10回結果'!I21)</x:f>
        <x:v>0.22673773395709804</x:v>
      </x:c>
      <x:c r="L10" s="55" t="n">
        <x:f>IF(J10=0,0,K10/J10)</x:f>
        <x:v>0.009802331674250923</x:v>
      </x:c>
      <x:c r="M10" s="9" t="n">
        <x:f>MIN('03_10回結果'!I3,'03_10回結果'!I5,'03_10回結果'!I7,'03_10回結果'!I9,'03_10回結果'!I11,'03_10回結果'!I13,'03_10回結果'!I15,'03_10回結果'!I17,'03_10回結果'!I19,'03_10回結果'!I21)</x:f>
        <x:v>22.91</x:v>
      </x:c>
      <x:c r="N10" s="9" t="n">
        <x:f>MAX('03_10回結果'!I3,'03_10回結果'!I5,'03_10回結果'!I7,'03_10回結果'!I9,'03_10回結果'!I11,'03_10回結果'!I13,'03_10回結果'!I15,'03_10回結果'!I17,'03_10回結果'!I19,'03_10回結果'!I21)</x:f>
        <x:v>23.48</x:v>
      </x:c>
      <x:c r="O10" s="9" t="n">
        <x:f>D10-J10</x:f>
        <x:v>0.1010000000000062</x:v>
      </x:c>
      <x:c r="P10" s="55" t="n">
        <x:f>IF(D10=0,0,O10/D10)</x:f>
        <x:v>0.004347451790633876</x:v>
      </x:c>
    </x:row>
    <x:row r="11">
      <x:c r="A11" s="8" t="str">
        <x:v>外部 wall time</x:v>
      </x:c>
      <x:c r="B11" s="8" t="str">
        <x:v>秒</x:v>
      </x:c>
      <x:c r="C11" s="62" t="n">
        <x:f>10</x:f>
        <x:v>10</x:v>
      </x:c>
      <x:c r="D11" s="9" t="n">
        <x:f>AVERAGE('03_10回結果'!J2,'03_10回結果'!J4,'03_10回結果'!J6,'03_10回結果'!J8,'03_10回結果'!J10,'03_10回結果'!J12,'03_10回結果'!J14,'03_10回結果'!J16,'03_10回結果'!J18,'03_10回結果'!J20)</x:f>
        <x:v>25.695</x:v>
      </x:c>
      <x:c r="E11" s="9" t="n">
        <x:f>STDEV.S('03_10回結果'!J2,'03_10回結果'!J4,'03_10回結果'!J6,'03_10回結果'!J8,'03_10回結果'!J10,'03_10回結果'!J12,'03_10回結果'!J14,'03_10回結果'!J16,'03_10回結果'!J18,'03_10回結果'!J20)</x:f>
        <x:v>0.3742325480232848</x:v>
      </x:c>
      <x:c r="F11" s="55" t="n">
        <x:f>IF(D11=0,0,E11/D11)</x:f>
        <x:v>0.01456441128714866</x:v>
      </x:c>
      <x:c r="G11" s="9" t="n">
        <x:f>MIN('03_10回結果'!J2,'03_10回結果'!J4,'03_10回結果'!J6,'03_10回結果'!J8,'03_10回結果'!J10,'03_10回結果'!J12,'03_10回結果'!J14,'03_10回結果'!J16,'03_10回結果'!J18,'03_10回結果'!J20)</x:f>
        <x:v>25.06</x:v>
      </x:c>
      <x:c r="H11" s="9" t="n">
        <x:f>MAX('03_10回結果'!J2,'03_10回結果'!J4,'03_10回結果'!J6,'03_10回結果'!J8,'03_10回結果'!J10,'03_10回結果'!J12,'03_10回結果'!J14,'03_10回結果'!J16,'03_10回結果'!J18,'03_10回結果'!J20)</x:f>
        <x:v>26.18</x:v>
      </x:c>
      <x:c r="I11" s="62" t="n">
        <x:f>10</x:f>
        <x:v>10</x:v>
      </x:c>
      <x:c r="J11" s="9" t="n">
        <x:f>AVERAGE('03_10回結果'!J3,'03_10回結果'!J5,'03_10回結果'!J7,'03_10回結果'!J9,'03_10回結果'!J11,'03_10回結果'!J13,'03_10回結果'!J15,'03_10回結果'!J17,'03_10回結果'!J19,'03_10回結果'!J21)</x:f>
        <x:v>25.663000000000004</x:v>
      </x:c>
      <x:c r="K11" s="9" t="n">
        <x:f>STDEV.S('03_10回結果'!J3,'03_10回結果'!J5,'03_10回結果'!J7,'03_10回結果'!J9,'03_10回結果'!J11,'03_10回結果'!J13,'03_10回結果'!J15,'03_10回結果'!J17,'03_10回結果'!J19,'03_10回結果'!J21)</x:f>
        <x:v>0.47562940755732697</x:v>
      </x:c>
      <x:c r="L11" s="55" t="n">
        <x:f>IF(J11=0,0,K11/J11)</x:f>
        <x:v>0.018533663545077617</x:v>
      </x:c>
      <x:c r="M11" s="9" t="n">
        <x:f>MIN('03_10回結果'!J3,'03_10回結果'!J5,'03_10回結果'!J7,'03_10回結果'!J9,'03_10回結果'!J11,'03_10回結果'!J13,'03_10回結果'!J15,'03_10回結果'!J17,'03_10回結果'!J19,'03_10回結果'!J21)</x:f>
        <x:v>24.86</x:v>
      </x:c>
      <x:c r="N11" s="9" t="n">
        <x:f>MAX('03_10回結果'!J3,'03_10回結果'!J5,'03_10回結果'!J7,'03_10回結果'!J9,'03_10回結果'!J11,'03_10回結果'!J13,'03_10回結果'!J15,'03_10回結果'!J17,'03_10回結果'!J19,'03_10回結果'!J21)</x:f>
        <x:v>26.1</x:v>
      </x:c>
      <x:c r="O11" s="9" t="n">
        <x:f>D11-J11</x:f>
        <x:v>0.031999999999996476</x:v>
      </x:c>
      <x:c r="P11" s="55" t="n">
        <x:f>IF(D11=0,0,O11/D11)</x:f>
        <x:v>0.0012453784783030347</x:v>
      </x:c>
    </x:row>
    <x:row r="12">
      <x:c r="A12" s="8" t="str">
        <x:v>CGプロファイル記録数</x:v>
      </x:c>
      <x:c r="B12" s="8" t="str">
        <x:v>回</x:v>
      </x:c>
      <x:c r="C12" s="62" t="n">
        <x:f>10</x:f>
        <x:v>10</x:v>
      </x:c>
      <x:c r="D12" s="9" t="n">
        <x:f>AVERAGE('03_10回結果'!K2,'03_10回結果'!K4,'03_10回結果'!K6,'03_10回結果'!K8,'03_10回結果'!K10,'03_10回結果'!K12,'03_10回結果'!K14,'03_10回結果'!K16,'03_10回結果'!K18,'03_10回結果'!K20)</x:f>
        <x:v>80</x:v>
      </x:c>
      <x:c r="E12" s="9" t="n">
        <x:f>STDEV.S('03_10回結果'!K2,'03_10回結果'!K4,'03_10回結果'!K6,'03_10回結果'!K8,'03_10回結果'!K10,'03_10回結果'!K12,'03_10回結果'!K14,'03_10回結果'!K16,'03_10回結果'!K18,'03_10回結果'!K20)</x:f>
        <x:v>0</x:v>
      </x:c>
      <x:c r="F12" s="55" t="n">
        <x:f>IF(D12=0,0,E12/D12)</x:f>
        <x:v>0</x:v>
      </x:c>
      <x:c r="G12" s="9" t="n">
        <x:f>MIN('03_10回結果'!K2,'03_10回結果'!K4,'03_10回結果'!K6,'03_10回結果'!K8,'03_10回結果'!K10,'03_10回結果'!K12,'03_10回結果'!K14,'03_10回結果'!K16,'03_10回結果'!K18,'03_10回結果'!K20)</x:f>
        <x:v>80</x:v>
      </x:c>
      <x:c r="H12" s="9" t="n">
        <x:f>MAX('03_10回結果'!K2,'03_10回結果'!K4,'03_10回結果'!K6,'03_10回結果'!K8,'03_10回結果'!K10,'03_10回結果'!K12,'03_10回結果'!K14,'03_10回結果'!K16,'03_10回結果'!K18,'03_10回結果'!K20)</x:f>
        <x:v>80</x:v>
      </x:c>
      <x:c r="I12" s="62" t="n">
        <x:f>10</x:f>
        <x:v>10</x:v>
      </x:c>
      <x:c r="J12" s="9" t="n">
        <x:f>AVERAGE('03_10回結果'!K3,'03_10回結果'!K5,'03_10回結果'!K7,'03_10回結果'!K9,'03_10回結果'!K11,'03_10回結果'!K13,'03_10回結果'!K15,'03_10回結果'!K17,'03_10回結果'!K19,'03_10回結果'!K21)</x:f>
        <x:v>80</x:v>
      </x:c>
      <x:c r="K12" s="9" t="n">
        <x:f>STDEV.S('03_10回結果'!K3,'03_10回結果'!K5,'03_10回結果'!K7,'03_10回結果'!K9,'03_10回結果'!K11,'03_10回結果'!K13,'03_10回結果'!K15,'03_10回結果'!K17,'03_10回結果'!K19,'03_10回結果'!K21)</x:f>
        <x:v>0</x:v>
      </x:c>
      <x:c r="L12" s="55" t="n">
        <x:f>IF(J12=0,0,K12/J12)</x:f>
        <x:v>0</x:v>
      </x:c>
      <x:c r="M12" s="9" t="n">
        <x:f>MIN('03_10回結果'!K3,'03_10回結果'!K5,'03_10回結果'!K7,'03_10回結果'!K9,'03_10回結果'!K11,'03_10回結果'!K13,'03_10回結果'!K15,'03_10回結果'!K17,'03_10回結果'!K19,'03_10回結果'!K21)</x:f>
        <x:v>80</x:v>
      </x:c>
      <x:c r="N12" s="9" t="n">
        <x:f>MAX('03_10回結果'!K3,'03_10回結果'!K5,'03_10回結果'!K7,'03_10回結果'!K9,'03_10回結果'!K11,'03_10回結果'!K13,'03_10回結果'!K15,'03_10回結果'!K17,'03_10回結果'!K19,'03_10回結果'!K21)</x:f>
        <x:v>80</x:v>
      </x:c>
      <x:c r="O12" s="9" t="n">
        <x:f>D12-J12</x:f>
        <x:v>0</x:v>
      </x:c>
      <x:c r="P12" s="55" t="n">
        <x:f>IF(D12=0,0,O12/D12)</x:f>
        <x:v>0</x:v>
      </x:c>
    </x:row>
    <x:row r="13">
      <x:c r="A13" s="8" t="str">
        <x:v>CG反復回数</x:v>
      </x:c>
      <x:c r="B13" s="8" t="str">
        <x:v>回</x:v>
      </x:c>
      <x:c r="C13" s="62" t="n">
        <x:f>10</x:f>
        <x:v>10</x:v>
      </x:c>
      <x:c r="D13" s="9" t="n">
        <x:f>AVERAGE('03_10回結果'!L2,'03_10回結果'!L4,'03_10回結果'!L6,'03_10回結果'!L8,'03_10回結果'!L10,'03_10回結果'!L12,'03_10回結果'!L14,'03_10回結果'!L16,'03_10回結果'!L18,'03_10回結果'!L20)</x:f>
        <x:v>5549</x:v>
      </x:c>
      <x:c r="E13" s="9" t="n">
        <x:f>STDEV.S('03_10回結果'!L2,'03_10回結果'!L4,'03_10回結果'!L6,'03_10回結果'!L8,'03_10回結果'!L10,'03_10回結果'!L12,'03_10回結果'!L14,'03_10回結果'!L16,'03_10回結果'!L18,'03_10回結果'!L20)</x:f>
        <x:v>0</x:v>
      </x:c>
      <x:c r="F13" s="55" t="n">
        <x:f>IF(D13=0,0,E13/D13)</x:f>
        <x:v>0</x:v>
      </x:c>
      <x:c r="G13" s="9" t="n">
        <x:f>MIN('03_10回結果'!L2,'03_10回結果'!L4,'03_10回結果'!L6,'03_10回結果'!L8,'03_10回結果'!L10,'03_10回結果'!L12,'03_10回結果'!L14,'03_10回結果'!L16,'03_10回結果'!L18,'03_10回結果'!L20)</x:f>
        <x:v>5549</x:v>
      </x:c>
      <x:c r="H13" s="9" t="n">
        <x:f>MAX('03_10回結果'!L2,'03_10回結果'!L4,'03_10回結果'!L6,'03_10回結果'!L8,'03_10回結果'!L10,'03_10回結果'!L12,'03_10回結果'!L14,'03_10回結果'!L16,'03_10回結果'!L18,'03_10回結果'!L20)</x:f>
        <x:v>5549</x:v>
      </x:c>
      <x:c r="I13" s="62" t="n">
        <x:f>10</x:f>
        <x:v>10</x:v>
      </x:c>
      <x:c r="J13" s="9" t="n">
        <x:f>AVERAGE('03_10回結果'!L3,'03_10回結果'!L5,'03_10回結果'!L7,'03_10回結果'!L9,'03_10回結果'!L11,'03_10回結果'!L13,'03_10回結果'!L15,'03_10回結果'!L17,'03_10回結果'!L19,'03_10回結果'!L21)</x:f>
        <x:v>5549</x:v>
      </x:c>
      <x:c r="K13" s="9" t="n">
        <x:f>STDEV.S('03_10回結果'!L3,'03_10回結果'!L5,'03_10回結果'!L7,'03_10回結果'!L9,'03_10回結果'!L11,'03_10回結果'!L13,'03_10回結果'!L15,'03_10回結果'!L17,'03_10回結果'!L19,'03_10回結果'!L21)</x:f>
        <x:v>0</x:v>
      </x:c>
      <x:c r="L13" s="55" t="n">
        <x:f>IF(J13=0,0,K13/J13)</x:f>
        <x:v>0</x:v>
      </x:c>
      <x:c r="M13" s="9" t="n">
        <x:f>MIN('03_10回結果'!L3,'03_10回結果'!L5,'03_10回結果'!L7,'03_10回結果'!L9,'03_10回結果'!L11,'03_10回結果'!L13,'03_10回結果'!L15,'03_10回結果'!L17,'03_10回結果'!L19,'03_10回結果'!L21)</x:f>
        <x:v>5549</x:v>
      </x:c>
      <x:c r="N13" s="9" t="n">
        <x:f>MAX('03_10回結果'!L3,'03_10回結果'!L5,'03_10回結果'!L7,'03_10回結果'!L9,'03_10回結果'!L11,'03_10回結果'!L13,'03_10回結果'!L15,'03_10回結果'!L17,'03_10回結果'!L19,'03_10回結果'!L21)</x:f>
        <x:v>5549</x:v>
      </x:c>
      <x:c r="O13" s="9" t="n">
        <x:f>D13-J13</x:f>
        <x:v>0</x:v>
      </x:c>
      <x:c r="P13" s="55" t="n">
        <x:f>IF(D13=0,0,O13/D13)</x:f>
        <x:v>0</x:v>
      </x:c>
    </x:row>
    <x:row r="14">
      <x:c r="A14" s="8" t="str">
        <x:v>CG全体</x:v>
      </x:c>
      <x:c r="B14" s="8" t="str">
        <x:v>秒</x:v>
      </x:c>
      <x:c r="C14" s="62" t="n">
        <x:f>10</x:f>
        <x:v>10</x:v>
      </x:c>
      <x:c r="D14" s="9" t="n">
        <x:f>AVERAGE('03_10回結果'!M2,'03_10回結果'!M4,'03_10回結果'!M6,'03_10回結果'!M8,'03_10回結果'!M10,'03_10回結果'!M12,'03_10回結果'!M14,'03_10回結果'!M16,'03_10回結果'!M18,'03_10回結果'!M20)</x:f>
        <x:v>5.715252236337</x:v>
      </x:c>
      <x:c r="E14" s="9" t="n">
        <x:f>STDEV.S('03_10回結果'!M2,'03_10回結果'!M4,'03_10回結果'!M6,'03_10回結果'!M8,'03_10回結果'!M10,'03_10回結果'!M12,'03_10回結果'!M14,'03_10回結果'!M16,'03_10回結果'!M18,'03_10回結果'!M20)</x:f>
        <x:v>0.004187422912942561</x:v>
      </x:c>
      <x:c r="F14" s="55" t="n">
        <x:f>IF(D14=0,0,E14/D14)</x:f>
        <x:v>0.0007326750841055354</x:v>
      </x:c>
      <x:c r="G14" s="9" t="n">
        <x:f>MIN('03_10回結果'!M2,'03_10回結果'!M4,'03_10回結果'!M6,'03_10回結果'!M8,'03_10回結果'!M10,'03_10回結果'!M12,'03_10回結果'!M14,'03_10回結果'!M16,'03_10回結果'!M18,'03_10回結果'!M20)</x:f>
        <x:v>5.70659602293</x:v>
      </x:c>
      <x:c r="H14" s="9" t="n">
        <x:f>MAX('03_10回結果'!M2,'03_10回結果'!M4,'03_10回結果'!M6,'03_10回結果'!M8,'03_10回結果'!M10,'03_10回結果'!M12,'03_10回結果'!M14,'03_10回結果'!M16,'03_10回結果'!M18,'03_10回結果'!M20)</x:f>
        <x:v>5.71993876868</x:v>
      </x:c>
      <x:c r="I14" s="62" t="n">
        <x:f>10</x:f>
        <x:v>10</x:v>
      </x:c>
      <x:c r="J14" s="9" t="n">
        <x:f>AVERAGE('03_10回結果'!M3,'03_10回結果'!M5,'03_10回結果'!M7,'03_10回結果'!M9,'03_10回結果'!M11,'03_10回結果'!M13,'03_10回結果'!M15,'03_10回結果'!M17,'03_10回結果'!M19,'03_10回結果'!M21)</x:f>
        <x:v>5.679530220607</x:v>
      </x:c>
      <x:c r="K14" s="9" t="n">
        <x:f>STDEV.S('03_10回結果'!M3,'03_10回結果'!M5,'03_10回結果'!M7,'03_10回結果'!M9,'03_10回結果'!M11,'03_10回結果'!M13,'03_10回結果'!M15,'03_10回結果'!M17,'03_10回結果'!M19,'03_10回結果'!M21)</x:f>
        <x:v>0.006470127560197196</x:v>
      </x:c>
      <x:c r="L14" s="55" t="n">
        <x:f>IF(J14=0,0,K14/J14)</x:f>
        <x:v>0.0011392011854645437</x:v>
      </x:c>
      <x:c r="M14" s="9" t="n">
        <x:f>MIN('03_10回結果'!M3,'03_10回結果'!M5,'03_10回結果'!M7,'03_10回結果'!M9,'03_10回結果'!M11,'03_10回結果'!M13,'03_10回結果'!M15,'03_10回結果'!M17,'03_10回結果'!M19,'03_10回結果'!M21)</x:f>
        <x:v>5.67011985716</x:v>
      </x:c>
      <x:c r="N14" s="9" t="n">
        <x:f>MAX('03_10回結果'!M3,'03_10回結果'!M5,'03_10回結果'!M7,'03_10回結果'!M9,'03_10回結果'!M11,'03_10回結果'!M13,'03_10回結果'!M15,'03_10回結果'!M17,'03_10回結果'!M19,'03_10回結果'!M21)</x:f>
        <x:v>5.69129267915</x:v>
      </x:c>
      <x:c r="O14" s="9" t="n">
        <x:f>D14-J14</x:f>
        <x:v>0.03572201573000022</x:v>
      </x:c>
      <x:c r="P14" s="55" t="n">
        <x:f>IF(D14=0,0,O14/D14)</x:f>
        <x:v>0.006250295569263458</x:v>
      </x:c>
    </x:row>
    <x:row r="15">
      <x:c r="A15" s="8" t="str">
        <x:v>CG step</x:v>
      </x:c>
      <x:c r="B15" s="8" t="str">
        <x:v>秒</x:v>
      </x:c>
      <x:c r="C15" s="62" t="n">
        <x:f>10</x:f>
        <x:v>10</x:v>
      </x:c>
      <x:c r="D15" s="9" t="n">
        <x:f>AVERAGE('03_10回結果'!N2,'03_10回結果'!N4,'03_10回結果'!N6,'03_10回結果'!N8,'03_10回結果'!N10,'03_10回結果'!N12,'03_10回結果'!N14,'03_10回結果'!N16,'03_10回結果'!N18,'03_10回結果'!N20)</x:f>
        <x:v>5.627064563064</x:v>
      </x:c>
      <x:c r="E15" s="9" t="n">
        <x:f>STDEV.S('03_10回結果'!N2,'03_10回結果'!N4,'03_10回結果'!N6,'03_10回結果'!N8,'03_10回結果'!N10,'03_10回結果'!N12,'03_10回結果'!N14,'03_10回結果'!N16,'03_10回結果'!N18,'03_10回結果'!N20)</x:f>
        <x:v>0.004179708202381477</x:v>
      </x:c>
      <x:c r="F15" s="55" t="n">
        <x:f>IF(D15=0,0,E15/D15)</x:f>
        <x:v>0.0007427866084595943</x:v>
      </x:c>
      <x:c r="G15" s="9" t="n">
        <x:f>MIN('03_10回結果'!N2,'03_10回結果'!N4,'03_10回結果'!N6,'03_10回結果'!N8,'03_10回結果'!N10,'03_10回結果'!N12,'03_10回結果'!N14,'03_10回結果'!N16,'03_10回結果'!N18,'03_10回結果'!N20)</x:f>
        <x:v>5.61838359373</x:v>
      </x:c>
      <x:c r="H15" s="9" t="n">
        <x:f>MAX('03_10回結果'!N2,'03_10回結果'!N4,'03_10回結果'!N6,'03_10回結果'!N8,'03_10回結果'!N10,'03_10回結果'!N12,'03_10回結果'!N14,'03_10回結果'!N16,'03_10回結果'!N18,'03_10回結果'!N20)</x:f>
        <x:v>5.63175038318</x:v>
      </x:c>
      <x:c r="I15" s="62" t="n">
        <x:f>10</x:f>
        <x:v>10</x:v>
      </x:c>
      <x:c r="J15" s="9" t="n">
        <x:f>AVERAGE('03_10回結果'!N3,'03_10回結果'!N5,'03_10回結果'!N7,'03_10回結果'!N9,'03_10回結果'!N11,'03_10回結果'!N13,'03_10回結果'!N15,'03_10回結果'!N17,'03_10回結果'!N19,'03_10回結果'!N21)</x:f>
        <x:v>5.591791541778</x:v>
      </x:c>
      <x:c r="K15" s="9" t="n">
        <x:f>STDEV.S('03_10回結果'!N3,'03_10回結果'!N5,'03_10回結果'!N7,'03_10回結果'!N9,'03_10回結果'!N11,'03_10回結果'!N13,'03_10回結果'!N15,'03_10回結果'!N17,'03_10回結果'!N19,'03_10回結果'!N21)</x:f>
        <x:v>0.006287476078326207</x:v>
      </x:c>
      <x:c r="L15" s="55" t="n">
        <x:f>IF(J15=0,0,K15/J15)</x:f>
        <x:v>0.001124411743776665</x:v>
      </x:c>
      <x:c r="M15" s="9" t="n">
        <x:f>MIN('03_10回結果'!N3,'03_10回結果'!N5,'03_10回結果'!N7,'03_10回結果'!N9,'03_10回結果'!N11,'03_10回結果'!N13,'03_10回結果'!N15,'03_10回結果'!N17,'03_10回結果'!N19,'03_10回結果'!N21)</x:f>
        <x:v>5.58248803159</x:v>
      </x:c>
      <x:c r="N15" s="9" t="n">
        <x:f>MAX('03_10回結果'!N3,'03_10回結果'!N5,'03_10回結果'!N7,'03_10回結果'!N9,'03_10回結果'!N11,'03_10回結果'!N13,'03_10回結果'!N15,'03_10回結果'!N17,'03_10回結果'!N19,'03_10回結果'!N21)</x:f>
        <x:v>5.6031514537</x:v>
      </x:c>
      <x:c r="O15" s="9" t="n">
        <x:f>D15-J15</x:f>
        <x:v>0.03527302128599974</x:v>
      </x:c>
      <x:c r="P15" s="55" t="n">
        <x:f>IF(D15=0,0,O15/D15)</x:f>
        <x:v>0.0062684586058478035</x:v>
      </x:c>
    </x:row>
    <x:row r="16">
      <x:c r="A16" s="8" t="str">
        <x:v>CG残差更新（AXPY + norm2）</x:v>
      </x:c>
      <x:c r="B16" s="8" t="str">
        <x:v>秒</x:v>
      </x:c>
      <x:c r="C16" s="62" t="n">
        <x:f>10</x:f>
        <x:v>10</x:v>
      </x:c>
      <x:c r="D16" s="9" t="n">
        <x:f>AVERAGE('03_10回結果'!O2,'03_10回結果'!O4,'03_10回結果'!O6,'03_10回結果'!O8,'03_10回結果'!O10,'03_10回結果'!O12,'03_10回結果'!O14,'03_10回結果'!O16,'03_10回結果'!O18,'03_10回結果'!O20)</x:f>
        <x:v>0.1045439796981</x:v>
      </x:c>
      <x:c r="E16" s="9" t="n">
        <x:f>STDEV.S('03_10回結果'!O2,'03_10回結果'!O4,'03_10回結果'!O6,'03_10回結果'!O8,'03_10回結果'!O10,'03_10回結果'!O12,'03_10回結果'!O14,'03_10回結果'!O16,'03_10回結果'!O18,'03_10回結果'!O20)</x:f>
        <x:v>0.000684183460405975</x:v>
      </x:c>
      <x:c r="F16" s="55" t="n">
        <x:f>IF(D16=0,0,E16/D16)</x:f>
        <x:v>0.006544455858498463</x:v>
      </x:c>
      <x:c r="G16" s="9" t="n">
        <x:f>MIN('03_10回結果'!O2,'03_10回結果'!O4,'03_10回結果'!O6,'03_10回結果'!O8,'03_10回結果'!O10,'03_10回結果'!O12,'03_10回結果'!O14,'03_10回結果'!O16,'03_10回結果'!O18,'03_10回結果'!O20)</x:f>
        <x:v>0.10372848723</x:v>
      </x:c>
      <x:c r="H16" s="9" t="n">
        <x:f>MAX('03_10回結果'!O2,'03_10回結果'!O4,'03_10回結果'!O6,'03_10回結果'!O8,'03_10回結果'!O10,'03_10回結果'!O12,'03_10回結果'!O14,'03_10回結果'!O16,'03_10回結果'!O18,'03_10回結果'!O20)</x:f>
        <x:v>0.105711971926</x:v>
      </x:c>
      <x:c r="I16" s="62" t="n">
        <x:f>10</x:f>
        <x:v>10</x:v>
      </x:c>
      <x:c r="J16" s="9" t="n">
        <x:f>AVERAGE('03_10回結果'!O3,'03_10回結果'!O5,'03_10回結果'!O7,'03_10回結果'!O9,'03_10回結果'!O11,'03_10回結果'!O13,'03_10回結果'!O15,'03_10回結果'!O17,'03_10回結果'!O19,'03_10回結果'!O21)</x:f>
        <x:v>0.09014579641348</x:v>
      </x:c>
      <x:c r="K16" s="9" t="n">
        <x:f>STDEV.S('03_10回結果'!O3,'03_10回結果'!O5,'03_10回結果'!O7,'03_10回結果'!O9,'03_10回結果'!O11,'03_10回結果'!O13,'03_10回結果'!O15,'03_10回結果'!O17,'03_10回結果'!O19,'03_10回結果'!O21)</x:f>
        <x:v>0.000391118873960965</x:v>
      </x:c>
      <x:c r="L16" s="55" t="n">
        <x:f>IF(J16=0,0,K16/J16)</x:f>
        <x:v>0.004338736685701728</x:v>
      </x:c>
      <x:c r="M16" s="9" t="n">
        <x:f>MIN('03_10回結果'!O3,'03_10回結果'!O5,'03_10回結果'!O7,'03_10回結果'!O9,'03_10回結果'!O11,'03_10回結果'!O13,'03_10回結果'!O15,'03_10回結果'!O17,'03_10回結果'!O19,'03_10回結果'!O21)</x:f>
        <x:v>0.0895339060498</x:v>
      </x:c>
      <x:c r="N16" s="9" t="n">
        <x:f>MAX('03_10回結果'!O3,'03_10回結果'!O5,'03_10回結果'!O7,'03_10回結果'!O9,'03_10回結果'!O11,'03_10回結果'!O13,'03_10回結果'!O15,'03_10回結果'!O17,'03_10回結果'!O19,'03_10回結果'!O21)</x:f>
        <x:v>0.0910320895544</x:v>
      </x:c>
      <x:c r="O16" s="9" t="n">
        <x:f>D16-J16</x:f>
        <x:v>0.014398183284620003</x:v>
      </x:c>
      <x:c r="P16" s="55" t="n">
        <x:f>IF(D16=0,0,O16/D16)</x:f>
        <x:v>0.137723696057858</x:v>
      </x:c>
    </x:row>
    <x:row r="17">
      <x:c r="A17" s="8" t="str">
        <x:v>D†Dプロファイル記録数</x:v>
      </x:c>
      <x:c r="B17" s="8" t="str">
        <x:v>回</x:v>
      </x:c>
      <x:c r="C17" s="62" t="n">
        <x:f>10</x:f>
        <x:v>10</x:v>
      </x:c>
      <x:c r="D17" s="9" t="n">
        <x:f>AVERAGE('03_10回結果'!P2,'03_10回結果'!P4,'03_10回結果'!P6,'03_10回結果'!P8,'03_10回結果'!P10,'03_10回結果'!P12,'03_10回結果'!P14,'03_10回結果'!P16,'03_10回結果'!P18,'03_10回結果'!P20)</x:f>
        <x:v>12</x:v>
      </x:c>
      <x:c r="E17" s="9" t="n">
        <x:f>STDEV.S('03_10回結果'!P2,'03_10回結果'!P4,'03_10回結果'!P6,'03_10回結果'!P8,'03_10回結果'!P10,'03_10回結果'!P12,'03_10回結果'!P14,'03_10回結果'!P16,'03_10回結果'!P18,'03_10回結果'!P20)</x:f>
        <x:v>0</x:v>
      </x:c>
      <x:c r="F17" s="55" t="n">
        <x:f>IF(D17=0,0,E17/D17)</x:f>
        <x:v>0</x:v>
      </x:c>
      <x:c r="G17" s="9" t="n">
        <x:f>MIN('03_10回結果'!P2,'03_10回結果'!P4,'03_10回結果'!P6,'03_10回結果'!P8,'03_10回結果'!P10,'03_10回結果'!P12,'03_10回結果'!P14,'03_10回結果'!P16,'03_10回結果'!P18,'03_10回結果'!P20)</x:f>
        <x:v>12</x:v>
      </x:c>
      <x:c r="H17" s="9" t="n">
        <x:f>MAX('03_10回結果'!P2,'03_10回結果'!P4,'03_10回結果'!P6,'03_10回結果'!P8,'03_10回結果'!P10,'03_10回結果'!P12,'03_10回結果'!P14,'03_10回結果'!P16,'03_10回結果'!P18,'03_10回結果'!P20)</x:f>
        <x:v>12</x:v>
      </x:c>
      <x:c r="I17" s="62" t="n">
        <x:f>10</x:f>
        <x:v>10</x:v>
      </x:c>
      <x:c r="J17" s="9" t="n">
        <x:f>AVERAGE('03_10回結果'!P3,'03_10回結果'!P5,'03_10回結果'!P7,'03_10回結果'!P9,'03_10回結果'!P11,'03_10回結果'!P13,'03_10回結果'!P15,'03_10回結果'!P17,'03_10回結果'!P19,'03_10回結果'!P21)</x:f>
        <x:v>12</x:v>
      </x:c>
      <x:c r="K17" s="9" t="n">
        <x:f>STDEV.S('03_10回結果'!P3,'03_10回結果'!P5,'03_10回結果'!P7,'03_10回結果'!P9,'03_10回結果'!P11,'03_10回結果'!P13,'03_10回結果'!P15,'03_10回結果'!P17,'03_10回結果'!P19,'03_10回結果'!P21)</x:f>
        <x:v>0</x:v>
      </x:c>
      <x:c r="L17" s="55" t="n">
        <x:f>IF(J17=0,0,K17/J17)</x:f>
        <x:v>0</x:v>
      </x:c>
      <x:c r="M17" s="9" t="n">
        <x:f>MIN('03_10回結果'!P3,'03_10回結果'!P5,'03_10回結果'!P7,'03_10回結果'!P9,'03_10回結果'!P11,'03_10回結果'!P13,'03_10回結果'!P15,'03_10回結果'!P17,'03_10回結果'!P19,'03_10回結果'!P21)</x:f>
        <x:v>12</x:v>
      </x:c>
      <x:c r="N17" s="9" t="n">
        <x:f>MAX('03_10回結果'!P3,'03_10回結果'!P5,'03_10回結果'!P7,'03_10回結果'!P9,'03_10回結果'!P11,'03_10回結果'!P13,'03_10回結果'!P15,'03_10回結果'!P17,'03_10回結果'!P19,'03_10回結果'!P21)</x:f>
        <x:v>12</x:v>
      </x:c>
      <x:c r="O17" s="9" t="n">
        <x:f>D17-J17</x:f>
        <x:v>0</x:v>
      </x:c>
      <x:c r="P17" s="55" t="n">
        <x:f>IF(D17=0,0,O17/D17)</x:f>
        <x:v>0</x:v>
      </x:c>
    </x:row>
    <x:row r="18">
      <x:c r="A18" s="8" t="str">
        <x:v>D†D呼出回数</x:v>
      </x:c>
      <x:c r="B18" s="8" t="str">
        <x:v>回</x:v>
      </x:c>
      <x:c r="C18" s="62" t="n">
        <x:f>10</x:f>
        <x:v>10</x:v>
      </x:c>
      <x:c r="D18" s="9" t="n">
        <x:f>AVERAGE('03_10回結果'!Q2,'03_10回結果'!Q4,'03_10回結果'!Q6,'03_10回結果'!Q8,'03_10回結果'!Q10,'03_10回結果'!Q12,'03_10回結果'!Q14,'03_10回結果'!Q16,'03_10回結果'!Q18,'03_10回結果'!Q20)</x:f>
        <x:v>7779</x:v>
      </x:c>
      <x:c r="E18" s="9" t="n">
        <x:f>STDEV.S('03_10回結果'!Q2,'03_10回結果'!Q4,'03_10回結果'!Q6,'03_10回結果'!Q8,'03_10回結果'!Q10,'03_10回結果'!Q12,'03_10回結果'!Q14,'03_10回結果'!Q16,'03_10回結果'!Q18,'03_10回結果'!Q20)</x:f>
        <x:v>0</x:v>
      </x:c>
      <x:c r="F18" s="55" t="n">
        <x:f>IF(D18=0,0,E18/D18)</x:f>
        <x:v>0</x:v>
      </x:c>
      <x:c r="G18" s="9" t="n">
        <x:f>MIN('03_10回結果'!Q2,'03_10回結果'!Q4,'03_10回結果'!Q6,'03_10回結果'!Q8,'03_10回結果'!Q10,'03_10回結果'!Q12,'03_10回結果'!Q14,'03_10回結果'!Q16,'03_10回結果'!Q18,'03_10回結果'!Q20)</x:f>
        <x:v>7779</x:v>
      </x:c>
      <x:c r="H18" s="9" t="n">
        <x:f>MAX('03_10回結果'!Q2,'03_10回結果'!Q4,'03_10回結果'!Q6,'03_10回結果'!Q8,'03_10回結果'!Q10,'03_10回結果'!Q12,'03_10回結果'!Q14,'03_10回結果'!Q16,'03_10回結果'!Q18,'03_10回結果'!Q20)</x:f>
        <x:v>7779</x:v>
      </x:c>
      <x:c r="I18" s="62" t="n">
        <x:f>10</x:f>
        <x:v>10</x:v>
      </x:c>
      <x:c r="J18" s="9" t="n">
        <x:f>AVERAGE('03_10回結果'!Q3,'03_10回結果'!Q5,'03_10回結果'!Q7,'03_10回結果'!Q9,'03_10回結果'!Q11,'03_10回結果'!Q13,'03_10回結果'!Q15,'03_10回結果'!Q17,'03_10回結果'!Q19,'03_10回結果'!Q21)</x:f>
        <x:v>7779</x:v>
      </x:c>
      <x:c r="K18" s="9" t="n">
        <x:f>STDEV.S('03_10回結果'!Q3,'03_10回結果'!Q5,'03_10回結果'!Q7,'03_10回結果'!Q9,'03_10回結果'!Q11,'03_10回結果'!Q13,'03_10回結果'!Q15,'03_10回結果'!Q17,'03_10回結果'!Q19,'03_10回結果'!Q21)</x:f>
        <x:v>0</x:v>
      </x:c>
      <x:c r="L18" s="55" t="n">
        <x:f>IF(J18=0,0,K18/J18)</x:f>
        <x:v>0</x:v>
      </x:c>
      <x:c r="M18" s="9" t="n">
        <x:f>MIN('03_10回結果'!Q3,'03_10回結果'!Q5,'03_10回結果'!Q7,'03_10回結果'!Q9,'03_10回結果'!Q11,'03_10回結果'!Q13,'03_10回結果'!Q15,'03_10回結果'!Q17,'03_10回結果'!Q19,'03_10回結果'!Q21)</x:f>
        <x:v>7779</x:v>
      </x:c>
      <x:c r="N18" s="9" t="n">
        <x:f>MAX('03_10回結果'!Q3,'03_10回結果'!Q5,'03_10回結果'!Q7,'03_10回結果'!Q9,'03_10回結果'!Q11,'03_10回結果'!Q13,'03_10回結果'!Q15,'03_10回結果'!Q17,'03_10回結果'!Q19,'03_10回結果'!Q21)</x:f>
        <x:v>7779</x:v>
      </x:c>
      <x:c r="O18" s="9" t="n">
        <x:f>D18-J18</x:f>
        <x:v>0</x:v>
      </x:c>
      <x:c r="P18" s="55" t="n">
        <x:f>IF(D18=0,0,O18/D18)</x:f>
        <x:v>0</x:v>
      </x:c>
    </x:row>
    <x:row r="19">
      <x:c r="A19" s="8" t="str">
        <x:v>D†D全体</x:v>
      </x:c>
      <x:c r="B19" s="8" t="str">
        <x:v>秒</x:v>
      </x:c>
      <x:c r="C19" s="62" t="n">
        <x:f>10</x:f>
        <x:v>10</x:v>
      </x:c>
      <x:c r="D19" s="9" t="n">
        <x:f>AVERAGE('03_10回結果'!R2,'03_10回結果'!R4,'03_10回結果'!R6,'03_10回結果'!R8,'03_10回結果'!R10,'03_10回結果'!R12,'03_10回結果'!R14,'03_10回結果'!R16,'03_10回結果'!R18,'03_10回結果'!R20)</x:f>
        <x:v>7.987897443212001</x:v>
      </x:c>
      <x:c r="E19" s="9" t="n">
        <x:f>STDEV.S('03_10回結果'!R2,'03_10回結果'!R4,'03_10回結果'!R6,'03_10回結果'!R8,'03_10回結果'!R10,'03_10回結果'!R12,'03_10回結果'!R14,'03_10回結果'!R16,'03_10回結果'!R18,'03_10回結果'!R20)</x:f>
        <x:v>0.054979137666293275</x:v>
      </x:c>
      <x:c r="F19" s="55" t="n">
        <x:f>IF(D19=0,0,E19/D19)</x:f>
        <x:v>0.006882804650053908</x:v>
      </x:c>
      <x:c r="G19" s="9" t="n">
        <x:f>MIN('03_10回結果'!R2,'03_10回結果'!R4,'03_10回結果'!R6,'03_10回結果'!R8,'03_10回結果'!R10,'03_10回結果'!R12,'03_10回結果'!R14,'03_10回結果'!R16,'03_10回結果'!R18,'03_10回結果'!R20)</x:f>
        <x:v>7.92691960728</x:v>
      </x:c>
      <x:c r="H19" s="9" t="n">
        <x:f>MAX('03_10回結果'!R2,'03_10回結果'!R4,'03_10回結果'!R6,'03_10回結果'!R8,'03_10回結果'!R10,'03_10回結果'!R12,'03_10回結果'!R14,'03_10回結果'!R16,'03_10回結果'!R18,'03_10回結果'!R20)</x:f>
        <x:v>8.06707885022</x:v>
      </x:c>
      <x:c r="I19" s="62" t="n">
        <x:f>10</x:f>
        <x:v>10</x:v>
      </x:c>
      <x:c r="J19" s="9" t="n">
        <x:f>AVERAGE('03_10回結果'!R3,'03_10回結果'!R5,'03_10回結果'!R7,'03_10回結果'!R9,'03_10回結果'!R11,'03_10回結果'!R13,'03_10回結果'!R15,'03_10回結果'!R17,'03_10回結果'!R19,'03_10回結果'!R21)</x:f>
        <x:v>7.955876794581999</x:v>
      </x:c>
      <x:c r="K19" s="9" t="n">
        <x:f>STDEV.S('03_10回結果'!R3,'03_10回結果'!R5,'03_10回結果'!R7,'03_10回結果'!R9,'03_10回結果'!R11,'03_10回結果'!R13,'03_10回結果'!R15,'03_10回結果'!R17,'03_10回結果'!R19,'03_10回結果'!R21)</x:f>
        <x:v>0.09654564192316435</x:v>
      </x:c>
      <x:c r="L19" s="55" t="n">
        <x:f>IF(J19=0,0,K19/J19)</x:f>
        <x:v>0.012135135374257243</x:v>
      </x:c>
      <x:c r="M19" s="9" t="n">
        <x:f>MIN('03_10回結果'!R3,'03_10回結果'!R5,'03_10回結果'!R7,'03_10回結果'!R9,'03_10回結果'!R11,'03_10回結果'!R13,'03_10回結果'!R15,'03_10回結果'!R17,'03_10回結果'!R19,'03_10回結果'!R21)</x:f>
        <x:v>7.87614056172</x:v>
      </x:c>
      <x:c r="N19" s="9" t="n">
        <x:f>MAX('03_10回結果'!R3,'03_10回結果'!R5,'03_10回結果'!R7,'03_10回結果'!R9,'03_10回結果'!R11,'03_10回結果'!R13,'03_10回結果'!R15,'03_10回結果'!R17,'03_10回結果'!R19,'03_10回結果'!R21)</x:f>
        <x:v>8.13469076511</x:v>
      </x:c>
      <x:c r="O19" s="9" t="n">
        <x:f>D19-J19</x:f>
        <x:v>0.032020648630001425</x:v>
      </x:c>
      <x:c r="P19" s="55" t="n">
        <x:f>IF(D19=0,0,O19/D19)</x:f>
        <x:v>0.004008645436129392</x:v>
      </x:c>
    </x:row>
    <x:row r="20">
      <x:c r="A20" s="8" t="str">
        <x:v>D combine</x:v>
      </x:c>
      <x:c r="B20" s="8" t="str">
        <x:v>秒</x:v>
      </x:c>
      <x:c r="C20" s="62" t="n">
        <x:f>10</x:f>
        <x:v>10</x:v>
      </x:c>
      <x:c r="D20" s="9" t="n">
        <x:f>AVERAGE('03_10回結果'!S2,'03_10回結果'!S4,'03_10回結果'!S6,'03_10回結果'!S8,'03_10回結果'!S10,'03_10回結果'!S12,'03_10回結果'!S14,'03_10回結果'!S16,'03_10回結果'!S18,'03_10回結果'!S20)</x:f>
        <x:v>0.06436132149587</x:v>
      </x:c>
      <x:c r="E20" s="9" t="n">
        <x:f>STDEV.S('03_10回結果'!S2,'03_10回結果'!S4,'03_10回結果'!S6,'03_10回結果'!S8,'03_10回結果'!S10,'03_10回結果'!S12,'03_10回結果'!S14,'03_10回結果'!S16,'03_10回結果'!S18,'03_10回結果'!S20)</x:f>
        <x:v>0.002250488713345066</x:v>
      </x:c>
      <x:c r="F20" s="55" t="n">
        <x:f>IF(D20=0,0,E20/D20)</x:f>
        <x:v>0.034966477708035834</x:v>
      </x:c>
      <x:c r="G20" s="9" t="n">
        <x:f>MIN('03_10回結果'!S2,'03_10回結果'!S4,'03_10回結果'!S6,'03_10回結果'!S8,'03_10回結果'!S10,'03_10回結果'!S12,'03_10回結果'!S14,'03_10回結果'!S16,'03_10回結果'!S18,'03_10回結果'!S20)</x:f>
        <x:v>0.0610317537454</x:v>
      </x:c>
      <x:c r="H20" s="9" t="n">
        <x:f>MAX('03_10回結果'!S2,'03_10回結果'!S4,'03_10回結果'!S6,'03_10回結果'!S8,'03_10回結果'!S10,'03_10回結果'!S12,'03_10回結果'!S14,'03_10回結果'!S16,'03_10回結果'!S18,'03_10回結果'!S20)</x:f>
        <x:v>0.0675455696216</x:v>
      </x:c>
      <x:c r="I20" s="62" t="n">
        <x:f>10</x:f>
        <x:v>10</x:v>
      </x:c>
      <x:c r="J20" s="9" t="n">
        <x:f>AVERAGE('03_10回結果'!S3,'03_10回結果'!S5,'03_10回結果'!S7,'03_10回結果'!S9,'03_10回結果'!S11,'03_10回結果'!S13,'03_10回結果'!S15,'03_10回結果'!S17,'03_10回結果'!S19,'03_10回結果'!S21)</x:f>
        <x:v>0.043822854915150006</x:v>
      </x:c>
      <x:c r="K20" s="9" t="n">
        <x:f>STDEV.S('03_10回結果'!S3,'03_10回結果'!S5,'03_10回結果'!S7,'03_10回結果'!S9,'03_10回結果'!S11,'03_10回結果'!S13,'03_10回結果'!S15,'03_10回結果'!S17,'03_10回結果'!S19,'03_10回結果'!S21)</x:f>
        <x:v>0.0008176681588422145</x:v>
      </x:c>
      <x:c r="L20" s="55" t="n">
        <x:f>IF(J20=0,0,K20/J20)</x:f>
        <x:v>0.018658486774204622</x:v>
      </x:c>
      <x:c r="M20" s="9" t="n">
        <x:f>MIN('03_10回結果'!S3,'03_10回結果'!S5,'03_10回結果'!S7,'03_10回結果'!S9,'03_10回結果'!S11,'03_10回結果'!S13,'03_10回結果'!S15,'03_10回結果'!S17,'03_10回結果'!S19,'03_10回結果'!S21)</x:f>
        <x:v>0.0426556197105</x:v>
      </x:c>
      <x:c r="N20" s="9" t="n">
        <x:f>MAX('03_10回結果'!S3,'03_10回結果'!S5,'03_10回結果'!S7,'03_10回結果'!S9,'03_10回結果'!S11,'03_10回結果'!S13,'03_10回結果'!S15,'03_10回結果'!S17,'03_10回結果'!S19,'03_10回結果'!S21)</x:f>
        <x:v>0.0450062912269</x:v>
      </x:c>
      <x:c r="O20" s="9" t="n">
        <x:f>D20-J20</x:f>
        <x:v>0.02053846658071999</x:v>
      </x:c>
      <x:c r="P20" s="55" t="n">
        <x:f>IF(D20=0,0,O20/D20)</x:f>
        <x:v>0.3191119464822972</x:v>
      </x:c>
    </x:row>
    <x:row r="21">
      <x:c r="A21" s="8" t="str">
        <x:v>D† combine</x:v>
      </x:c>
      <x:c r="B21" s="8" t="str">
        <x:v>秒</x:v>
      </x:c>
      <x:c r="C21" s="62" t="n">
        <x:f>10</x:f>
        <x:v>10</x:v>
      </x:c>
      <x:c r="D21" s="9" t="n">
        <x:f>AVERAGE('03_10回結果'!T2,'03_10回結果'!T4,'03_10回結果'!T6,'03_10回結果'!T8,'03_10回結果'!T10,'03_10回結果'!T12,'03_10回結果'!T14,'03_10回結果'!T16,'03_10回結果'!T18,'03_10回結果'!T20)</x:f>
        <x:v>0.07052304258669999</x:v>
      </x:c>
      <x:c r="E21" s="9" t="n">
        <x:f>STDEV.S('03_10回結果'!T2,'03_10回結果'!T4,'03_10回結果'!T6,'03_10回結果'!T8,'03_10回結果'!T10,'03_10回結果'!T12,'03_10回結果'!T14,'03_10回結果'!T16,'03_10回結果'!T18,'03_10回結果'!T20)</x:f>
        <x:v>0.001636467169368451</x:v>
      </x:c>
      <x:c r="F21" s="55" t="n">
        <x:f>IF(D21=0,0,E21/D21)</x:f>
        <x:v>0.023204715924679545</x:v>
      </x:c>
      <x:c r="G21" s="9" t="n">
        <x:f>MIN('03_10回結果'!T2,'03_10回結果'!T4,'03_10回結果'!T6,'03_10回結果'!T8,'03_10回結果'!T10,'03_10回結果'!T12,'03_10回結果'!T14,'03_10回結果'!T16,'03_10回結果'!T18,'03_10回結果'!T20)</x:f>
        <x:v>0.0680717451828</x:v>
      </x:c>
      <x:c r="H21" s="9" t="n">
        <x:f>MAX('03_10回結果'!T2,'03_10回結果'!T4,'03_10回結果'!T6,'03_10回結果'!T8,'03_10回結果'!T10,'03_10回結果'!T12,'03_10回結果'!T14,'03_10回結果'!T16,'03_10回結果'!T18,'03_10回結果'!T20)</x:f>
        <x:v>0.0728463101007</x:v>
      </x:c>
      <x:c r="I21" s="62" t="n">
        <x:f>10</x:f>
        <x:v>10</x:v>
      </x:c>
      <x:c r="J21" s="9" t="n">
        <x:f>AVERAGE('03_10回結果'!T3,'03_10回結果'!T5,'03_10回結果'!T7,'03_10回結果'!T9,'03_10回結果'!T11,'03_10回結果'!T13,'03_10回結果'!T15,'03_10回結果'!T17,'03_10回結果'!T19,'03_10回結果'!T21)</x:f>
        <x:v>0.049358348924930004</x:v>
      </x:c>
      <x:c r="K21" s="9" t="n">
        <x:f>STDEV.S('03_10回結果'!T3,'03_10回結果'!T5,'03_10回結果'!T7,'03_10回結果'!T9,'03_10回結果'!T11,'03_10回結果'!T13,'03_10回結果'!T15,'03_10回結果'!T17,'03_10回結果'!T19,'03_10回結果'!T21)</x:f>
        <x:v>0.0006177484984240754</x:v>
      </x:c>
      <x:c r="L21" s="55" t="n">
        <x:f>IF(J21=0,0,K21/J21)</x:f>
        <x:v>0.012515582710508007</x:v>
      </x:c>
      <x:c r="M21" s="9" t="n">
        <x:f>MIN('03_10回結果'!T3,'03_10回結果'!T5,'03_10回結果'!T7,'03_10回結果'!T9,'03_10回結果'!T11,'03_10回結果'!T13,'03_10回結果'!T15,'03_10回結果'!T17,'03_10回結果'!T19,'03_10回結果'!T21)</x:f>
        <x:v>0.0486344400123</x:v>
      </x:c>
      <x:c r="N21" s="9" t="n">
        <x:f>MAX('03_10回結果'!T3,'03_10回結果'!T5,'03_10回結果'!T7,'03_10回結果'!T9,'03_10回結果'!T11,'03_10回結果'!T13,'03_10回結果'!T15,'03_10回結果'!T17,'03_10回結果'!T19,'03_10回結果'!T21)</x:f>
        <x:v>0.0503716998869</x:v>
      </x:c>
      <x:c r="O21" s="9" t="n">
        <x:f>D21-J21</x:f>
        <x:v>0.021164693661769984</x:v>
      </x:c>
      <x:c r="P21" s="55" t="n">
        <x:f>IF(D21=0,0,O21/D21)</x:f>
        <x:v>0.3001103311127058</x:v>
      </x:c>
    </x:row>
    <x:row r="22">
      <x:c r="A22" s="8" t="str">
        <x:v>D†D combine合計</x:v>
      </x:c>
      <x:c r="B22" s="8" t="str">
        <x:v>秒</x:v>
      </x:c>
      <x:c r="C22" s="62" t="n">
        <x:f>10</x:f>
        <x:v>10</x:v>
      </x:c>
      <x:c r="D22" s="9" t="n">
        <x:f>AVERAGE('03_10回結果'!U2,'03_10回結果'!U4,'03_10回結果'!U6,'03_10回結果'!U8,'03_10回結果'!U10,'03_10回結果'!U12,'03_10回結果'!U14,'03_10回結果'!U16,'03_10回結果'!U18,'03_10回結果'!U20)</x:f>
        <x:v>0.13488436408159998</x:v>
      </x:c>
      <x:c r="E22" s="9" t="n">
        <x:f>STDEV.S('03_10回結果'!U2,'03_10回結果'!U4,'03_10回結果'!U6,'03_10回結果'!U8,'03_10回結果'!U10,'03_10回結果'!U12,'03_10回結果'!U14,'03_10回結果'!U16,'03_10回結果'!U18,'03_10回結果'!U20)</x:f>
        <x:v>0.0032648525613258937</x:v>
      </x:c>
      <x:c r="F22" s="55" t="n">
        <x:f>IF(D22=0,0,E22/D22)</x:f>
        <x:v>0.024204825989695738</x:v>
      </x:c>
      <x:c r="G22" s="9" t="n">
        <x:f>MIN('03_10回結果'!U2,'03_10回結果'!U4,'03_10回結果'!U6,'03_10回結果'!U8,'03_10回結果'!U10,'03_10回結果'!U12,'03_10回結果'!U14,'03_10回結果'!U16,'03_10回結果'!U18,'03_10回結果'!U20)</x:f>
        <x:v>0.131043405922</x:v>
      </x:c>
      <x:c r="H22" s="9" t="n">
        <x:f>MAX('03_10回結果'!U2,'03_10回結果'!U4,'03_10回結果'!U6,'03_10回結果'!U8,'03_10回結果'!U10,'03_10回結果'!U12,'03_10回結果'!U14,'03_10回結果'!U16,'03_10回結果'!U18,'03_10回結果'!U20)</x:f>
        <x:v>0.140391879713</x:v>
      </x:c>
      <x:c r="I22" s="62" t="n">
        <x:f>10</x:f>
        <x:v>10</x:v>
      </x:c>
      <x:c r="J22" s="9" t="n">
        <x:f>AVERAGE('03_10回結果'!U3,'03_10回結果'!U5,'03_10回結果'!U7,'03_10回結果'!U9,'03_10回結果'!U11,'03_10回結果'!U13,'03_10回結果'!U15,'03_10回結果'!U17,'03_10回結果'!U19,'03_10回結果'!U21)</x:f>
        <x:v>0.09318120384112999</x:v>
      </x:c>
      <x:c r="K22" s="9" t="n">
        <x:f>STDEV.S('03_10回結果'!U3,'03_10回結果'!U5,'03_10回結果'!U7,'03_10回結果'!U9,'03_10回結果'!U11,'03_10回結果'!U13,'03_10回結果'!U15,'03_10回結果'!U17,'03_10回結果'!U19,'03_10回結果'!U21)</x:f>
        <x:v>0.0008639072788889353</x:v>
      </x:c>
      <x:c r="L22" s="55" t="n">
        <x:f>IF(J22=0,0,K22/J22)</x:f>
        <x:v>0.009271261190849827</x:v>
      </x:c>
      <x:c r="M22" s="9" t="n">
        <x:f>MIN('03_10回結果'!U3,'03_10回結果'!U5,'03_10回結果'!U7,'03_10回結果'!U9,'03_10回結果'!U11,'03_10回結果'!U13,'03_10回結果'!U15,'03_10回結果'!U17,'03_10回結果'!U19,'03_10回結果'!U21)</x:f>
        <x:v>0.0917860477883</x:v>
      </x:c>
      <x:c r="N22" s="9" t="n">
        <x:f>MAX('03_10回結果'!U3,'03_10回結果'!U5,'03_10回結果'!U7,'03_10回結果'!U9,'03_10回結果'!U11,'03_10回結果'!U13,'03_10回結果'!U15,'03_10回結果'!U17,'03_10回結果'!U19,'03_10回結果'!U21)</x:f>
        <x:v>0.0945193234286</x:v>
      </x:c>
      <x:c r="O22" s="9" t="n">
        <x:f>D22-J22</x:f>
        <x:v>0.041703160240469994</x:v>
      </x:c>
      <x:c r="P22" s="55" t="n">
        <x:f>IF(D22=0,0,O22/D22)</x:f>
        <x:v>0.30917712756714444</x:v>
      </x:c>
    </x:row>
    <x:row r="23">
      <x:c r="A23" s="8" t="str">
        <x:v>CG単精度 記録数</x:v>
      </x:c>
      <x:c r="B23" s="8" t="str">
        <x:v>回</x:v>
      </x:c>
      <x:c r="C23" s="62" t="n">
        <x:f>10</x:f>
        <x:v>10</x:v>
      </x:c>
      <x:c r="D23" s="9" t="n">
        <x:f>AVERAGE('03_10回結果'!V2,'03_10回結果'!V4,'03_10回結果'!V6,'03_10回結果'!V8,'03_10回結果'!V10,'03_10回結果'!V12,'03_10回結果'!V14,'03_10回結果'!V16,'03_10回結果'!V18,'03_10回結果'!V20)</x:f>
        <x:v>80</x:v>
      </x:c>
      <x:c r="E23" s="9" t="n">
        <x:f>STDEV.S('03_10回結果'!V2,'03_10回結果'!V4,'03_10回結果'!V6,'03_10回結果'!V8,'03_10回結果'!V10,'03_10回結果'!V12,'03_10回結果'!V14,'03_10回結果'!V16,'03_10回結果'!V18,'03_10回結果'!V20)</x:f>
        <x:v>0</x:v>
      </x:c>
      <x:c r="F23" s="55" t="n">
        <x:f>IF(D23=0,0,E23/D23)</x:f>
        <x:v>0</x:v>
      </x:c>
      <x:c r="G23" s="9" t="n">
        <x:f>MIN('03_10回結果'!V2,'03_10回結果'!V4,'03_10回結果'!V6,'03_10回結果'!V8,'03_10回結果'!V10,'03_10回結果'!V12,'03_10回結果'!V14,'03_10回結果'!V16,'03_10回結果'!V18,'03_10回結果'!V20)</x:f>
        <x:v>80</x:v>
      </x:c>
      <x:c r="H23" s="9" t="n">
        <x:f>MAX('03_10回結果'!V2,'03_10回結果'!V4,'03_10回結果'!V6,'03_10回結果'!V8,'03_10回結果'!V10,'03_10回結果'!V12,'03_10回結果'!V14,'03_10回結果'!V16,'03_10回結果'!V18,'03_10回結果'!V20)</x:f>
        <x:v>80</x:v>
      </x:c>
      <x:c r="I23" s="62" t="n">
        <x:f>10</x:f>
        <x:v>10</x:v>
      </x:c>
      <x:c r="J23" s="9" t="n">
        <x:f>AVERAGE('03_10回結果'!V3,'03_10回結果'!V5,'03_10回結果'!V7,'03_10回結果'!V9,'03_10回結果'!V11,'03_10回結果'!V13,'03_10回結果'!V15,'03_10回結果'!V17,'03_10回結果'!V19,'03_10回結果'!V21)</x:f>
        <x:v>80</x:v>
      </x:c>
      <x:c r="K23" s="9" t="n">
        <x:f>STDEV.S('03_10回結果'!V3,'03_10回結果'!V5,'03_10回結果'!V7,'03_10回結果'!V9,'03_10回結果'!V11,'03_10回結果'!V13,'03_10回結果'!V15,'03_10回結果'!V17,'03_10回結果'!V19,'03_10回結果'!V21)</x:f>
        <x:v>0</x:v>
      </x:c>
      <x:c r="L23" s="55" t="n">
        <x:f>IF(J23=0,0,K23/J23)</x:f>
        <x:v>0</x:v>
      </x:c>
      <x:c r="M23" s="9" t="n">
        <x:f>MIN('03_10回結果'!V3,'03_10回結果'!V5,'03_10回結果'!V7,'03_10回結果'!V9,'03_10回結果'!V11,'03_10回結果'!V13,'03_10回結果'!V15,'03_10回結果'!V17,'03_10回結果'!V19,'03_10回結果'!V21)</x:f>
        <x:v>80</x:v>
      </x:c>
      <x:c r="N23" s="9" t="n">
        <x:f>MAX('03_10回結果'!V3,'03_10回結果'!V5,'03_10回結果'!V7,'03_10回結果'!V9,'03_10回結果'!V11,'03_10回結果'!V13,'03_10回結果'!V15,'03_10回結果'!V17,'03_10回結果'!V19,'03_10回結果'!V21)</x:f>
        <x:v>80</x:v>
      </x:c>
      <x:c r="O23" s="9" t="n">
        <x:f>D23-J23</x:f>
        <x:v>0</x:v>
      </x:c>
      <x:c r="P23" s="55" t="n">
        <x:f>IF(D23=0,0,O23/D23)</x:f>
        <x:v>0</x:v>
      </x:c>
    </x:row>
    <x:row r="24">
      <x:c r="A24" s="8" t="str">
        <x:v>CG単精度 反復回数</x:v>
      </x:c>
      <x:c r="B24" s="8" t="str">
        <x:v>回</x:v>
      </x:c>
      <x:c r="C24" s="62" t="n">
        <x:f>10</x:f>
        <x:v>10</x:v>
      </x:c>
      <x:c r="D24" s="9" t="n">
        <x:f>AVERAGE('03_10回結果'!W2,'03_10回結果'!W4,'03_10回結果'!W6,'03_10回結果'!W8,'03_10回結果'!W10,'03_10回結果'!W12,'03_10回結果'!W14,'03_10回結果'!W16,'03_10回結果'!W18,'03_10回結果'!W20)</x:f>
        <x:v>5549</x:v>
      </x:c>
      <x:c r="E24" s="9" t="n">
        <x:f>STDEV.S('03_10回結果'!W2,'03_10回結果'!W4,'03_10回結果'!W6,'03_10回結果'!W8,'03_10回結果'!W10,'03_10回結果'!W12,'03_10回結果'!W14,'03_10回結果'!W16,'03_10回結果'!W18,'03_10回結果'!W20)</x:f>
        <x:v>0</x:v>
      </x:c>
      <x:c r="F24" s="55" t="n">
        <x:f>IF(D24=0,0,E24/D24)</x:f>
        <x:v>0</x:v>
      </x:c>
      <x:c r="G24" s="9" t="n">
        <x:f>MIN('03_10回結果'!W2,'03_10回結果'!W4,'03_10回結果'!W6,'03_10回結果'!W8,'03_10回結果'!W10,'03_10回結果'!W12,'03_10回結果'!W14,'03_10回結果'!W16,'03_10回結果'!W18,'03_10回結果'!W20)</x:f>
        <x:v>5549</x:v>
      </x:c>
      <x:c r="H24" s="9" t="n">
        <x:f>MAX('03_10回結果'!W2,'03_10回結果'!W4,'03_10回結果'!W6,'03_10回結果'!W8,'03_10回結果'!W10,'03_10回結果'!W12,'03_10回結果'!W14,'03_10回結果'!W16,'03_10回結果'!W18,'03_10回結果'!W20)</x:f>
        <x:v>5549</x:v>
      </x:c>
      <x:c r="I24" s="62" t="n">
        <x:f>10</x:f>
        <x:v>10</x:v>
      </x:c>
      <x:c r="J24" s="9" t="n">
        <x:f>AVERAGE('03_10回結果'!W3,'03_10回結果'!W5,'03_10回結果'!W7,'03_10回結果'!W9,'03_10回結果'!W11,'03_10回結果'!W13,'03_10回結果'!W15,'03_10回結果'!W17,'03_10回結果'!W19,'03_10回結果'!W21)</x:f>
        <x:v>5549</x:v>
      </x:c>
      <x:c r="K24" s="9" t="n">
        <x:f>STDEV.S('03_10回結果'!W3,'03_10回結果'!W5,'03_10回結果'!W7,'03_10回結果'!W9,'03_10回結果'!W11,'03_10回結果'!W13,'03_10回結果'!W15,'03_10回結果'!W17,'03_10回結果'!W19,'03_10回結果'!W21)</x:f>
        <x:v>0</x:v>
      </x:c>
      <x:c r="L24" s="55" t="n">
        <x:f>IF(J24=0,0,K24/J24)</x:f>
        <x:v>0</x:v>
      </x:c>
      <x:c r="M24" s="9" t="n">
        <x:f>MIN('03_10回結果'!W3,'03_10回結果'!W5,'03_10回結果'!W7,'03_10回結果'!W9,'03_10回結果'!W11,'03_10回結果'!W13,'03_10回結果'!W15,'03_10回結果'!W17,'03_10回結果'!W19,'03_10回結果'!W21)</x:f>
        <x:v>5549</x:v>
      </x:c>
      <x:c r="N24" s="9" t="n">
        <x:f>MAX('03_10回結果'!W3,'03_10回結果'!W5,'03_10回結果'!W7,'03_10回結果'!W9,'03_10回結果'!W11,'03_10回結果'!W13,'03_10回結果'!W15,'03_10回結果'!W17,'03_10回結果'!W19,'03_10回結果'!W21)</x:f>
        <x:v>5549</x:v>
      </x:c>
      <x:c r="O24" s="9" t="n">
        <x:f>D24-J24</x:f>
        <x:v>0</x:v>
      </x:c>
      <x:c r="P24" s="55" t="n">
        <x:f>IF(D24=0,0,O24/D24)</x:f>
        <x:v>0</x:v>
      </x:c>
    </x:row>
    <x:row r="25">
      <x:c r="A25" s="8" t="str">
        <x:v>CG単精度 全体</x:v>
      </x:c>
      <x:c r="B25" s="8" t="str">
        <x:v>秒</x:v>
      </x:c>
      <x:c r="C25" s="62" t="n">
        <x:f>10</x:f>
        <x:v>10</x:v>
      </x:c>
      <x:c r="D25" s="9" t="n">
        <x:f>AVERAGE('03_10回結果'!X2,'03_10回結果'!X4,'03_10回結果'!X6,'03_10回結果'!X8,'03_10回結果'!X10,'03_10回結果'!X12,'03_10回結果'!X14,'03_10回結果'!X16,'03_10回結果'!X18,'03_10回結果'!X20)</x:f>
        <x:v>5.715252236337</x:v>
      </x:c>
      <x:c r="E25" s="9" t="n">
        <x:f>STDEV.S('03_10回結果'!X2,'03_10回結果'!X4,'03_10回結果'!X6,'03_10回結果'!X8,'03_10回結果'!X10,'03_10回結果'!X12,'03_10回結果'!X14,'03_10回結果'!X16,'03_10回結果'!X18,'03_10回結果'!X20)</x:f>
        <x:v>0.004187422912942561</x:v>
      </x:c>
      <x:c r="F25" s="55" t="n">
        <x:f>IF(D25=0,0,E25/D25)</x:f>
        <x:v>0.0007326750841055354</x:v>
      </x:c>
      <x:c r="G25" s="9" t="n">
        <x:f>MIN('03_10回結果'!X2,'03_10回結果'!X4,'03_10回結果'!X6,'03_10回結果'!X8,'03_10回結果'!X10,'03_10回結果'!X12,'03_10回結果'!X14,'03_10回結果'!X16,'03_10回結果'!X18,'03_10回結果'!X20)</x:f>
        <x:v>5.70659602293</x:v>
      </x:c>
      <x:c r="H25" s="9" t="n">
        <x:f>MAX('03_10回結果'!X2,'03_10回結果'!X4,'03_10回結果'!X6,'03_10回結果'!X8,'03_10回結果'!X10,'03_10回結果'!X12,'03_10回結果'!X14,'03_10回結果'!X16,'03_10回結果'!X18,'03_10回結果'!X20)</x:f>
        <x:v>5.71993876868</x:v>
      </x:c>
      <x:c r="I25" s="62" t="n">
        <x:f>10</x:f>
        <x:v>10</x:v>
      </x:c>
      <x:c r="J25" s="9" t="n">
        <x:f>AVERAGE('03_10回結果'!X3,'03_10回結果'!X5,'03_10回結果'!X7,'03_10回結果'!X9,'03_10回結果'!X11,'03_10回結果'!X13,'03_10回結果'!X15,'03_10回結果'!X17,'03_10回結果'!X19,'03_10回結果'!X21)</x:f>
        <x:v>5.679530220607</x:v>
      </x:c>
      <x:c r="K25" s="9" t="n">
        <x:f>STDEV.S('03_10回結果'!X3,'03_10回結果'!X5,'03_10回結果'!X7,'03_10回結果'!X9,'03_10回結果'!X11,'03_10回結果'!X13,'03_10回結果'!X15,'03_10回結果'!X17,'03_10回結果'!X19,'03_10回結果'!X21)</x:f>
        <x:v>0.006470127560197196</x:v>
      </x:c>
      <x:c r="L25" s="55" t="n">
        <x:f>IF(J25=0,0,K25/J25)</x:f>
        <x:v>0.0011392011854645437</x:v>
      </x:c>
      <x:c r="M25" s="9" t="n">
        <x:f>MIN('03_10回結果'!X3,'03_10回結果'!X5,'03_10回結果'!X7,'03_10回結果'!X9,'03_10回結果'!X11,'03_10回結果'!X13,'03_10回結果'!X15,'03_10回結果'!X17,'03_10回結果'!X19,'03_10回結果'!X21)</x:f>
        <x:v>5.67011985716</x:v>
      </x:c>
      <x:c r="N25" s="9" t="n">
        <x:f>MAX('03_10回結果'!X3,'03_10回結果'!X5,'03_10回結果'!X7,'03_10回結果'!X9,'03_10回結果'!X11,'03_10回結果'!X13,'03_10回結果'!X15,'03_10回結果'!X17,'03_10回結果'!X19,'03_10回結果'!X21)</x:f>
        <x:v>5.69129267915</x:v>
      </x:c>
      <x:c r="O25" s="9" t="n">
        <x:f>D25-J25</x:f>
        <x:v>0.03572201573000022</x:v>
      </x:c>
      <x:c r="P25" s="55" t="n">
        <x:f>IF(D25=0,0,O25/D25)</x:f>
        <x:v>0.006250295569263458</x:v>
      </x:c>
    </x:row>
    <x:row r="26">
      <x:c r="A26" s="8" t="str">
        <x:v>CG単精度 残差更新</x:v>
      </x:c>
      <x:c r="B26" s="8" t="str">
        <x:v>秒</x:v>
      </x:c>
      <x:c r="C26" s="62" t="n">
        <x:f>10</x:f>
        <x:v>10</x:v>
      </x:c>
      <x:c r="D26" s="9" t="n">
        <x:f>AVERAGE('03_10回結果'!Y2,'03_10回結果'!Y4,'03_10回結果'!Y6,'03_10回結果'!Y8,'03_10回結果'!Y10,'03_10回結果'!Y12,'03_10回結果'!Y14,'03_10回結果'!Y16,'03_10回結果'!Y18,'03_10回結果'!Y20)</x:f>
        <x:v>0.1045439796981</x:v>
      </x:c>
      <x:c r="E26" s="9" t="n">
        <x:f>STDEV.S('03_10回結果'!Y2,'03_10回結果'!Y4,'03_10回結果'!Y6,'03_10回結果'!Y8,'03_10回結果'!Y10,'03_10回結果'!Y12,'03_10回結果'!Y14,'03_10回結果'!Y16,'03_10回結果'!Y18,'03_10回結果'!Y20)</x:f>
        <x:v>0.000684183460405975</x:v>
      </x:c>
      <x:c r="F26" s="55" t="n">
        <x:f>IF(D26=0,0,E26/D26)</x:f>
        <x:v>0.006544455858498463</x:v>
      </x:c>
      <x:c r="G26" s="9" t="n">
        <x:f>MIN('03_10回結果'!Y2,'03_10回結果'!Y4,'03_10回結果'!Y6,'03_10回結果'!Y8,'03_10回結果'!Y10,'03_10回結果'!Y12,'03_10回結果'!Y14,'03_10回結果'!Y16,'03_10回結果'!Y18,'03_10回結果'!Y20)</x:f>
        <x:v>0.10372848723</x:v>
      </x:c>
      <x:c r="H26" s="9" t="n">
        <x:f>MAX('03_10回結果'!Y2,'03_10回結果'!Y4,'03_10回結果'!Y6,'03_10回結果'!Y8,'03_10回結果'!Y10,'03_10回結果'!Y12,'03_10回結果'!Y14,'03_10回結果'!Y16,'03_10回結果'!Y18,'03_10回結果'!Y20)</x:f>
        <x:v>0.105711971926</x:v>
      </x:c>
      <x:c r="I26" s="62" t="n">
        <x:f>10</x:f>
        <x:v>10</x:v>
      </x:c>
      <x:c r="J26" s="9" t="n">
        <x:f>AVERAGE('03_10回結果'!Y3,'03_10回結果'!Y5,'03_10回結果'!Y7,'03_10回結果'!Y9,'03_10回結果'!Y11,'03_10回結果'!Y13,'03_10回結果'!Y15,'03_10回結果'!Y17,'03_10回結果'!Y19,'03_10回結果'!Y21)</x:f>
        <x:v>0.09014579641348</x:v>
      </x:c>
      <x:c r="K26" s="9" t="n">
        <x:f>STDEV.S('03_10回結果'!Y3,'03_10回結果'!Y5,'03_10回結果'!Y7,'03_10回結果'!Y9,'03_10回結果'!Y11,'03_10回結果'!Y13,'03_10回結果'!Y15,'03_10回結果'!Y17,'03_10回結果'!Y19,'03_10回結果'!Y21)</x:f>
        <x:v>0.000391118873960965</x:v>
      </x:c>
      <x:c r="L26" s="55" t="n">
        <x:f>IF(J26=0,0,K26/J26)</x:f>
        <x:v>0.004338736685701728</x:v>
      </x:c>
      <x:c r="M26" s="9" t="n">
        <x:f>MIN('03_10回結果'!Y3,'03_10回結果'!Y5,'03_10回結果'!Y7,'03_10回結果'!Y9,'03_10回結果'!Y11,'03_10回結果'!Y13,'03_10回結果'!Y15,'03_10回結果'!Y17,'03_10回結果'!Y19,'03_10回結果'!Y21)</x:f>
        <x:v>0.0895339060498</x:v>
      </x:c>
      <x:c r="N26" s="9" t="n">
        <x:f>MAX('03_10回結果'!Y3,'03_10回結果'!Y5,'03_10回結果'!Y7,'03_10回結果'!Y9,'03_10回結果'!Y11,'03_10回結果'!Y13,'03_10回結果'!Y15,'03_10回結果'!Y17,'03_10回結果'!Y19,'03_10回結果'!Y21)</x:f>
        <x:v>0.0910320895544</x:v>
      </x:c>
      <x:c r="O26" s="9" t="n">
        <x:f>D26-J26</x:f>
        <x:v>0.014398183284620003</x:v>
      </x:c>
      <x:c r="P26" s="55" t="n">
        <x:f>IF(D26=0,0,O26/D26)</x:f>
        <x:v>0.137723696057858</x:v>
      </x:c>
    </x:row>
    <x:row r="27">
      <x:c r="A27" s="8" t="str">
        <x:v>D†D単精度 記録数</x:v>
      </x:c>
      <x:c r="B27" s="8" t="str">
        <x:v>回</x:v>
      </x:c>
      <x:c r="C27" s="62" t="n">
        <x:f>10</x:f>
        <x:v>10</x:v>
      </x:c>
      <x:c r="D27" s="9" t="n">
        <x:f>AVERAGE('03_10回結果'!Z2,'03_10回結果'!Z4,'03_10回結果'!Z6,'03_10回結果'!Z8,'03_10回結果'!Z10,'03_10回結果'!Z12,'03_10回結果'!Z14,'03_10回結果'!Z16,'03_10回結果'!Z18,'03_10回結果'!Z20)</x:f>
        <x:v>5</x:v>
      </x:c>
      <x:c r="E27" s="9" t="n">
        <x:f>STDEV.S('03_10回結果'!Z2,'03_10回結果'!Z4,'03_10回結果'!Z6,'03_10回結果'!Z8,'03_10回結果'!Z10,'03_10回結果'!Z12,'03_10回結果'!Z14,'03_10回結果'!Z16,'03_10回結果'!Z18,'03_10回結果'!Z20)</x:f>
        <x:v>0</x:v>
      </x:c>
      <x:c r="F27" s="55" t="n">
        <x:f>IF(D27=0,0,E27/D27)</x:f>
        <x:v>0</x:v>
      </x:c>
      <x:c r="G27" s="9" t="n">
        <x:f>MIN('03_10回結果'!Z2,'03_10回結果'!Z4,'03_10回結果'!Z6,'03_10回結果'!Z8,'03_10回結果'!Z10,'03_10回結果'!Z12,'03_10回結果'!Z14,'03_10回結果'!Z16,'03_10回結果'!Z18,'03_10回結果'!Z20)</x:f>
        <x:v>5</x:v>
      </x:c>
      <x:c r="H27" s="9" t="n">
        <x:f>MAX('03_10回結果'!Z2,'03_10回結果'!Z4,'03_10回結果'!Z6,'03_10回結果'!Z8,'03_10回結果'!Z10,'03_10回結果'!Z12,'03_10回結果'!Z14,'03_10回結果'!Z16,'03_10回結果'!Z18,'03_10回結果'!Z20)</x:f>
        <x:v>5</x:v>
      </x:c>
      <x:c r="I27" s="62" t="n">
        <x:f>10</x:f>
        <x:v>10</x:v>
      </x:c>
      <x:c r="J27" s="9" t="n">
        <x:f>AVERAGE('03_10回結果'!Z3,'03_10回結果'!Z5,'03_10回結果'!Z7,'03_10回結果'!Z9,'03_10回結果'!Z11,'03_10回結果'!Z13,'03_10回結果'!Z15,'03_10回結果'!Z17,'03_10回結果'!Z19,'03_10回結果'!Z21)</x:f>
        <x:v>5</x:v>
      </x:c>
      <x:c r="K27" s="9" t="n">
        <x:f>STDEV.S('03_10回結果'!Z3,'03_10回結果'!Z5,'03_10回結果'!Z7,'03_10回結果'!Z9,'03_10回結果'!Z11,'03_10回結果'!Z13,'03_10回結果'!Z15,'03_10回結果'!Z17,'03_10回結果'!Z19,'03_10回結果'!Z21)</x:f>
        <x:v>0</x:v>
      </x:c>
      <x:c r="L27" s="55" t="n">
        <x:f>IF(J27=0,0,K27/J27)</x:f>
        <x:v>0</x:v>
      </x:c>
      <x:c r="M27" s="9" t="n">
        <x:f>MIN('03_10回結果'!Z3,'03_10回結果'!Z5,'03_10回結果'!Z7,'03_10回結果'!Z9,'03_10回結果'!Z11,'03_10回結果'!Z13,'03_10回結果'!Z15,'03_10回結果'!Z17,'03_10回結果'!Z19,'03_10回結果'!Z21)</x:f>
        <x:v>5</x:v>
      </x:c>
      <x:c r="N27" s="9" t="n">
        <x:f>MAX('03_10回結果'!Z3,'03_10回結果'!Z5,'03_10回結果'!Z7,'03_10回結果'!Z9,'03_10回結果'!Z11,'03_10回結果'!Z13,'03_10回結果'!Z15,'03_10回結果'!Z17,'03_10回結果'!Z19,'03_10回結果'!Z21)</x:f>
        <x:v>5</x:v>
      </x:c>
      <x:c r="O27" s="9" t="n">
        <x:f>D27-J27</x:f>
        <x:v>0</x:v>
      </x:c>
      <x:c r="P27" s="55" t="n">
        <x:f>IF(D27=0,0,O27/D27)</x:f>
        <x:v>0</x:v>
      </x:c>
    </x:row>
    <x:row r="28">
      <x:c r="A28" s="8" t="str">
        <x:v>D†D単精度 呼出回数</x:v>
      </x:c>
      <x:c r="B28" s="8" t="str">
        <x:v>回</x:v>
      </x:c>
      <x:c r="C28" s="62" t="n">
        <x:f>10</x:f>
        <x:v>10</x:v>
      </x:c>
      <x:c r="D28" s="9" t="n">
        <x:f>AVERAGE('03_10回結果'!AA2,'03_10回結果'!AA4,'03_10回結果'!AA6,'03_10回結果'!AA8,'03_10回結果'!AA10,'03_10回結果'!AA12,'03_10回結果'!AA14,'03_10回結果'!AA16,'03_10回結果'!AA18,'03_10回結果'!AA20)</x:f>
        <x:v>5629</x:v>
      </x:c>
      <x:c r="E28" s="9" t="n">
        <x:f>STDEV.S('03_10回結果'!AA2,'03_10回結果'!AA4,'03_10回結果'!AA6,'03_10回結果'!AA8,'03_10回結果'!AA10,'03_10回結果'!AA12,'03_10回結果'!AA14,'03_10回結果'!AA16,'03_10回結果'!AA18,'03_10回結果'!AA20)</x:f>
        <x:v>0</x:v>
      </x:c>
      <x:c r="F28" s="55" t="n">
        <x:f>IF(D28=0,0,E28/D28)</x:f>
        <x:v>0</x:v>
      </x:c>
      <x:c r="G28" s="9" t="n">
        <x:f>MIN('03_10回結果'!AA2,'03_10回結果'!AA4,'03_10回結果'!AA6,'03_10回結果'!AA8,'03_10回結果'!AA10,'03_10回結果'!AA12,'03_10回結果'!AA14,'03_10回結果'!AA16,'03_10回結果'!AA18,'03_10回結果'!AA20)</x:f>
        <x:v>5629</x:v>
      </x:c>
      <x:c r="H28" s="9" t="n">
        <x:f>MAX('03_10回結果'!AA2,'03_10回結果'!AA4,'03_10回結果'!AA6,'03_10回結果'!AA8,'03_10回結果'!AA10,'03_10回結果'!AA12,'03_10回結果'!AA14,'03_10回結果'!AA16,'03_10回結果'!AA18,'03_10回結果'!AA20)</x:f>
        <x:v>5629</x:v>
      </x:c>
      <x:c r="I28" s="62" t="n">
        <x:f>10</x:f>
        <x:v>10</x:v>
      </x:c>
      <x:c r="J28" s="9" t="n">
        <x:f>AVERAGE('03_10回結果'!AA3,'03_10回結果'!AA5,'03_10回結果'!AA7,'03_10回結果'!AA9,'03_10回結果'!AA11,'03_10回結果'!AA13,'03_10回結果'!AA15,'03_10回結果'!AA17,'03_10回結果'!AA19,'03_10回結果'!AA21)</x:f>
        <x:v>5629</x:v>
      </x:c>
      <x:c r="K28" s="9" t="n">
        <x:f>STDEV.S('03_10回結果'!AA3,'03_10回結果'!AA5,'03_10回結果'!AA7,'03_10回結果'!AA9,'03_10回結果'!AA11,'03_10回結果'!AA13,'03_10回結果'!AA15,'03_10回結果'!AA17,'03_10回結果'!AA19,'03_10回結果'!AA21)</x:f>
        <x:v>0</x:v>
      </x:c>
      <x:c r="L28" s="55" t="n">
        <x:f>IF(J28=0,0,K28/J28)</x:f>
        <x:v>0</x:v>
      </x:c>
      <x:c r="M28" s="9" t="n">
        <x:f>MIN('03_10回結果'!AA3,'03_10回結果'!AA5,'03_10回結果'!AA7,'03_10回結果'!AA9,'03_10回結果'!AA11,'03_10回結果'!AA13,'03_10回結果'!AA15,'03_10回結果'!AA17,'03_10回結果'!AA19,'03_10回結果'!AA21)</x:f>
        <x:v>5629</x:v>
      </x:c>
      <x:c r="N28" s="9" t="n">
        <x:f>MAX('03_10回結果'!AA3,'03_10回結果'!AA5,'03_10回結果'!AA7,'03_10回結果'!AA9,'03_10回結果'!AA11,'03_10回結果'!AA13,'03_10回結果'!AA15,'03_10回結果'!AA17,'03_10回結果'!AA19,'03_10回結果'!AA21)</x:f>
        <x:v>5629</x:v>
      </x:c>
      <x:c r="O28" s="9" t="n">
        <x:f>D28-J28</x:f>
        <x:v>0</x:v>
      </x:c>
      <x:c r="P28" s="55" t="n">
        <x:f>IF(D28=0,0,O28/D28)</x:f>
        <x:v>0</x:v>
      </x:c>
    </x:row>
    <x:row r="29">
      <x:c r="A29" s="8" t="str">
        <x:v>D†D単精度 全体</x:v>
      </x:c>
      <x:c r="B29" s="8" t="str">
        <x:v>秒</x:v>
      </x:c>
      <x:c r="C29" s="62" t="n">
        <x:f>10</x:f>
        <x:v>10</x:v>
      </x:c>
      <x:c r="D29" s="9" t="n">
        <x:f>AVERAGE('03_10回結果'!AB2,'03_10回結果'!AB4,'03_10回結果'!AB6,'03_10回結果'!AB8,'03_10回結果'!AB10,'03_10回結果'!AB12,'03_10回結果'!AB14,'03_10回結果'!AB16,'03_10回結果'!AB18,'03_10回結果'!AB20)</x:f>
        <x:v>5.4518821319579995</x:v>
      </x:c>
      <x:c r="E29" s="9" t="n">
        <x:f>STDEV.S('03_10回結果'!AB2,'03_10回結果'!AB4,'03_10回結果'!AB6,'03_10回結果'!AB8,'03_10回結果'!AB10,'03_10回結果'!AB12,'03_10回結果'!AB14,'03_10回結果'!AB16,'03_10回結果'!AB18,'03_10回結果'!AB20)</x:f>
        <x:v>0.0042775807094565434</x:v>
      </x:c>
      <x:c r="F29" s="55" t="n">
        <x:f>IF(D29=0,0,E29/D29)</x:f>
        <x:v>0.0007846062343098171</x:v>
      </x:c>
      <x:c r="G29" s="9" t="n">
        <x:f>MIN('03_10回結果'!AB2,'03_10回結果'!AB4,'03_10回結果'!AB6,'03_10回結果'!AB8,'03_10回結果'!AB10,'03_10回結果'!AB12,'03_10回結果'!AB14,'03_10回結果'!AB16,'03_10回結果'!AB18,'03_10回結果'!AB20)</x:f>
        <x:v>5.44149638785</x:v>
      </x:c>
      <x:c r="H29" s="9" t="n">
        <x:f>MAX('03_10回結果'!AB2,'03_10回結果'!AB4,'03_10回結果'!AB6,'03_10回結果'!AB8,'03_10回結果'!AB10,'03_10回結果'!AB12,'03_10回結果'!AB14,'03_10回結果'!AB16,'03_10回結果'!AB18,'03_10回結果'!AB20)</x:f>
        <x:v>5.45683444704</x:v>
      </x:c>
      <x:c r="I29" s="62" t="n">
        <x:f>10</x:f>
        <x:v>10</x:v>
      </x:c>
      <x:c r="J29" s="9" t="n">
        <x:f>AVERAGE('03_10回結果'!AB3,'03_10回結果'!AB5,'03_10回結果'!AB7,'03_10回結果'!AB9,'03_10回結果'!AB11,'03_10回結果'!AB13,'03_10回結果'!AB15,'03_10回結果'!AB17,'03_10回結果'!AB19,'03_10回結果'!AB21)</x:f>
        <x:v>5.431755993464</x:v>
      </x:c>
      <x:c r="K29" s="9" t="n">
        <x:f>STDEV.S('03_10回結果'!AB3,'03_10回結果'!AB5,'03_10回結果'!AB7,'03_10回結果'!AB9,'03_10回結果'!AB11,'03_10回結果'!AB13,'03_10回結果'!AB15,'03_10回結果'!AB17,'03_10回結果'!AB19,'03_10回結果'!AB21)</x:f>
        <x:v>0.005372805631867735</x:v>
      </x:c>
      <x:c r="L29" s="55" t="n">
        <x:f>IF(J29=0,0,K29/J29)</x:f>
        <x:v>0.0009891470895107954</x:v>
      </x:c>
      <x:c r="M29" s="9" t="n">
        <x:f>MIN('03_10回結果'!AB3,'03_10回結果'!AB5,'03_10回結果'!AB7,'03_10回結果'!AB9,'03_10回結果'!AB11,'03_10回結果'!AB13,'03_10回結果'!AB15,'03_10回結果'!AB17,'03_10回結果'!AB19,'03_10回結果'!AB21)</x:f>
        <x:v>5.4240077381</x:v>
      </x:c>
      <x:c r="N29" s="9" t="n">
        <x:f>MAX('03_10回結果'!AB3,'03_10回結果'!AB5,'03_10回結果'!AB7,'03_10回結果'!AB9,'03_10回結果'!AB11,'03_10回結果'!AB13,'03_10回結果'!AB15,'03_10回結果'!AB17,'03_10回結果'!AB19,'03_10回結果'!AB21)</x:f>
        <x:v>5.44158438375</x:v>
      </x:c>
      <x:c r="O29" s="9" t="n">
        <x:f>D29-J29</x:f>
        <x:v>0.02012613849399969</x:v>
      </x:c>
      <x:c r="P29" s="55" t="n">
        <x:f>IF(D29=0,0,O29/D29)</x:f>
        <x:v>0.0036915945735553806</x:v>
      </x:c>
    </x:row>
    <x:row r="30">
      <x:c r="A30" s="8" t="str">
        <x:v>D†D単精度 combine</x:v>
      </x:c>
      <x:c r="B30" s="8" t="str">
        <x:v>秒</x:v>
      </x:c>
      <x:c r="C30" s="62" t="n">
        <x:f>10</x:f>
        <x:v>10</x:v>
      </x:c>
      <x:c r="D30" s="9" t="n">
        <x:f>AVERAGE('03_10回結果'!AC2,'03_10回結果'!AC4,'03_10回結果'!AC6,'03_10回結果'!AC8,'03_10回結果'!AC10,'03_10回結果'!AC12,'03_10回結果'!AC14,'03_10回結果'!AC16,'03_10回結果'!AC18,'03_10回結果'!AC20)</x:f>
        <x:v>0.07494257603748</x:v>
      </x:c>
      <x:c r="E30" s="9" t="n">
        <x:f>STDEV.S('03_10回結果'!AC2,'03_10回結果'!AC4,'03_10回結果'!AC6,'03_10回結果'!AC8,'03_10回結果'!AC10,'03_10回結果'!AC12,'03_10回結果'!AC14,'03_10回結果'!AC16,'03_10回結果'!AC18,'03_10回結果'!AC20)</x:f>
        <x:v>0.002284180297545</x:v>
      </x:c>
      <x:c r="F30" s="55" t="n">
        <x:f>IF(D30=0,0,E30/D30)</x:f>
        <x:v>0.030479073689736052</x:v>
      </x:c>
      <x:c r="G30" s="9" t="n">
        <x:f>MIN('03_10回結果'!AC2,'03_10回結果'!AC4,'03_10回結果'!AC6,'03_10回結果'!AC8,'03_10回結果'!AC10,'03_10回結果'!AC12,'03_10回結果'!AC14,'03_10回結果'!AC16,'03_10回結果'!AC18,'03_10回結果'!AC20)</x:f>
        <x:v>0.0718339803535</x:v>
      </x:c>
      <x:c r="H30" s="9" t="n">
        <x:f>MAX('03_10回結果'!AC2,'03_10回結果'!AC4,'03_10回結果'!AC6,'03_10回結果'!AC8,'03_10回結果'!AC10,'03_10回結果'!AC12,'03_10回結果'!AC14,'03_10回結果'!AC16,'03_10回結果'!AC18,'03_10回結果'!AC20)</x:f>
        <x:v>0.0780133393052</x:v>
      </x:c>
      <x:c r="I30" s="62" t="n">
        <x:f>10</x:f>
        <x:v>10</x:v>
      </x:c>
      <x:c r="J30" s="9" t="n">
        <x:f>AVERAGE('03_10回結果'!AC3,'03_10回結果'!AC5,'03_10回結果'!AC7,'03_10回結果'!AC9,'03_10回結果'!AC11,'03_10回結果'!AC13,'03_10回結果'!AC15,'03_10回結果'!AC17,'03_10回結果'!AC19,'03_10回結果'!AC21)</x:f>
        <x:v>0.050595302331990014</x:v>
      </x:c>
      <x:c r="K30" s="9" t="n">
        <x:f>STDEV.S('03_10回結果'!AC3,'03_10回結果'!AC5,'03_10回結果'!AC7,'03_10回結果'!AC9,'03_10回結果'!AC11,'03_10回結果'!AC13,'03_10回結果'!AC15,'03_10回結果'!AC17,'03_10回結果'!AC19,'03_10回結果'!AC21)</x:f>
        <x:v>0.0009786700863747585</x:v>
      </x:c>
      <x:c r="L30" s="55" t="n">
        <x:f>IF(J30=0,0,K30/J30)</x:f>
        <x:v>0.019343101854655237</x:v>
      </x:c>
      <x:c r="M30" s="9" t="n">
        <x:f>MIN('03_10回結果'!AC3,'03_10回結果'!AC5,'03_10回結果'!AC7,'03_10回結果'!AC9,'03_10回結果'!AC11,'03_10回結果'!AC13,'03_10回結果'!AC15,'03_10回結果'!AC17,'03_10回結果'!AC19,'03_10回結果'!AC21)</x:f>
        <x:v>0.0489533106846</x:v>
      </x:c>
      <x:c r="N30" s="9" t="n">
        <x:f>MAX('03_10回結果'!AC3,'03_10回結果'!AC5,'03_10回結果'!AC7,'03_10回結果'!AC9,'03_10回結果'!AC11,'03_10回結果'!AC13,'03_10回結果'!AC15,'03_10回結果'!AC17,'03_10回結果'!AC19,'03_10回結果'!AC21)</x:f>
        <x:v>0.0519965204725</x:v>
      </x:c>
      <x:c r="O30" s="9" t="n">
        <x:f>D30-J30</x:f>
        <x:v>0.02434727370548999</x:v>
      </x:c>
      <x:c r="P30" s="55" t="n">
        <x:f>IF(D30=0,0,O30/D30)</x:f>
        <x:v>0.3248790606465612</x:v>
      </x:c>
    </x:row>
    <x:row r="31">
      <x:c r="A31" s="8" t="str">
        <x:v>CG倍精度 記録数</x:v>
      </x:c>
      <x:c r="B31" s="8" t="str">
        <x:v>回</x:v>
      </x:c>
      <x:c r="C31" s="62" t="n">
        <x:f>10</x:f>
        <x:v>10</x:v>
      </x:c>
      <x:c r="D31" s="9" t="n">
        <x:f>AVERAGE('03_10回結果'!AD2,'03_10回結果'!AD4,'03_10回結果'!AD6,'03_10回結果'!AD8,'03_10回結果'!AD10,'03_10回結果'!AD12,'03_10回結果'!AD14,'03_10回結果'!AD16,'03_10回結果'!AD18,'03_10回結果'!AD20)</x:f>
        <x:v>0</x:v>
      </x:c>
      <x:c r="E31" s="9" t="n">
        <x:f>STDEV.S('03_10回結果'!AD2,'03_10回結果'!AD4,'03_10回結果'!AD6,'03_10回結果'!AD8,'03_10回結果'!AD10,'03_10回結果'!AD12,'03_10回結果'!AD14,'03_10回結果'!AD16,'03_10回結果'!AD18,'03_10回結果'!AD20)</x:f>
        <x:v>0</x:v>
      </x:c>
      <x:c r="F31" s="55" t="n">
        <x:f>IF(D31=0,0,E31/D31)</x:f>
        <x:v>0</x:v>
      </x:c>
      <x:c r="G31" s="9" t="n">
        <x:f>MIN('03_10回結果'!AD2,'03_10回結果'!AD4,'03_10回結果'!AD6,'03_10回結果'!AD8,'03_10回結果'!AD10,'03_10回結果'!AD12,'03_10回結果'!AD14,'03_10回結果'!AD16,'03_10回結果'!AD18,'03_10回結果'!AD20)</x:f>
        <x:v>0</x:v>
      </x:c>
      <x:c r="H31" s="9" t="n">
        <x:f>MAX('03_10回結果'!AD2,'03_10回結果'!AD4,'03_10回結果'!AD6,'03_10回結果'!AD8,'03_10回結果'!AD10,'03_10回結果'!AD12,'03_10回結果'!AD14,'03_10回結果'!AD16,'03_10回結果'!AD18,'03_10回結果'!AD20)</x:f>
        <x:v>0</x:v>
      </x:c>
      <x:c r="I31" s="62" t="n">
        <x:f>10</x:f>
        <x:v>10</x:v>
      </x:c>
      <x:c r="J31" s="9" t="n">
        <x:f>AVERAGE('03_10回結果'!AD3,'03_10回結果'!AD5,'03_10回結果'!AD7,'03_10回結果'!AD9,'03_10回結果'!AD11,'03_10回結果'!AD13,'03_10回結果'!AD15,'03_10回結果'!AD17,'03_10回結果'!AD19,'03_10回結果'!AD21)</x:f>
        <x:v>0</x:v>
      </x:c>
      <x:c r="K31" s="9" t="n">
        <x:f>STDEV.S('03_10回結果'!AD3,'03_10回結果'!AD5,'03_10回結果'!AD7,'03_10回結果'!AD9,'03_10回結果'!AD11,'03_10回結果'!AD13,'03_10回結果'!AD15,'03_10回結果'!AD17,'03_10回結果'!AD19,'03_10回結果'!AD21)</x:f>
        <x:v>0</x:v>
      </x:c>
      <x:c r="L31" s="55" t="n">
        <x:f>IF(J31=0,0,K31/J31)</x:f>
        <x:v>0</x:v>
      </x:c>
      <x:c r="M31" s="9" t="n">
        <x:f>MIN('03_10回結果'!AD3,'03_10回結果'!AD5,'03_10回結果'!AD7,'03_10回結果'!AD9,'03_10回結果'!AD11,'03_10回結果'!AD13,'03_10回結果'!AD15,'03_10回結果'!AD17,'03_10回結果'!AD19,'03_10回結果'!AD21)</x:f>
        <x:v>0</x:v>
      </x:c>
      <x:c r="N31" s="9" t="n">
        <x:f>MAX('03_10回結果'!AD3,'03_10回結果'!AD5,'03_10回結果'!AD7,'03_10回結果'!AD9,'03_10回結果'!AD11,'03_10回結果'!AD13,'03_10回結果'!AD15,'03_10回結果'!AD17,'03_10回結果'!AD19,'03_10回結果'!AD21)</x:f>
        <x:v>0</x:v>
      </x:c>
      <x:c r="O31" s="9" t="n">
        <x:f>D31-J31</x:f>
        <x:v>0</x:v>
      </x:c>
      <x:c r="P31" s="55" t="n">
        <x:f>IF(D31=0,0,O31/D31)</x:f>
        <x:v>0</x:v>
      </x:c>
    </x:row>
    <x:row r="32">
      <x:c r="A32" s="8" t="str">
        <x:v>CG倍精度 反復回数</x:v>
      </x:c>
      <x:c r="B32" s="8" t="str">
        <x:v>回</x:v>
      </x:c>
      <x:c r="C32" s="62" t="n">
        <x:f>10</x:f>
        <x:v>10</x:v>
      </x:c>
      <x:c r="D32" s="9" t="n">
        <x:f>AVERAGE('03_10回結果'!AE2,'03_10回結果'!AE4,'03_10回結果'!AE6,'03_10回結果'!AE8,'03_10回結果'!AE10,'03_10回結果'!AE12,'03_10回結果'!AE14,'03_10回結果'!AE16,'03_10回結果'!AE18,'03_10回結果'!AE20)</x:f>
        <x:v>0</x:v>
      </x:c>
      <x:c r="E32" s="9" t="n">
        <x:f>STDEV.S('03_10回結果'!AE2,'03_10回結果'!AE4,'03_10回結果'!AE6,'03_10回結果'!AE8,'03_10回結果'!AE10,'03_10回結果'!AE12,'03_10回結果'!AE14,'03_10回結果'!AE16,'03_10回結果'!AE18,'03_10回結果'!AE20)</x:f>
        <x:v>0</x:v>
      </x:c>
      <x:c r="F32" s="55" t="n">
        <x:f>IF(D32=0,0,E32/D32)</x:f>
        <x:v>0</x:v>
      </x:c>
      <x:c r="G32" s="9" t="n">
        <x:f>MIN('03_10回結果'!AE2,'03_10回結果'!AE4,'03_10回結果'!AE6,'03_10回結果'!AE8,'03_10回結果'!AE10,'03_10回結果'!AE12,'03_10回結果'!AE14,'03_10回結果'!AE16,'03_10回結果'!AE18,'03_10回結果'!AE20)</x:f>
        <x:v>0</x:v>
      </x:c>
      <x:c r="H32" s="9" t="n">
        <x:f>MAX('03_10回結果'!AE2,'03_10回結果'!AE4,'03_10回結果'!AE6,'03_10回結果'!AE8,'03_10回結果'!AE10,'03_10回結果'!AE12,'03_10回結果'!AE14,'03_10回結果'!AE16,'03_10回結果'!AE18,'03_10回結果'!AE20)</x:f>
        <x:v>0</x:v>
      </x:c>
      <x:c r="I32" s="62" t="n">
        <x:f>10</x:f>
        <x:v>10</x:v>
      </x:c>
      <x:c r="J32" s="9" t="n">
        <x:f>AVERAGE('03_10回結果'!AE3,'03_10回結果'!AE5,'03_10回結果'!AE7,'03_10回結果'!AE9,'03_10回結果'!AE11,'03_10回結果'!AE13,'03_10回結果'!AE15,'03_10回結果'!AE17,'03_10回結果'!AE19,'03_10回結果'!AE21)</x:f>
        <x:v>0</x:v>
      </x:c>
      <x:c r="K32" s="9" t="n">
        <x:f>STDEV.S('03_10回結果'!AE3,'03_10回結果'!AE5,'03_10回結果'!AE7,'03_10回結果'!AE9,'03_10回結果'!AE11,'03_10回結果'!AE13,'03_10回結果'!AE15,'03_10回結果'!AE17,'03_10回結果'!AE19,'03_10回結果'!AE21)</x:f>
        <x:v>0</x:v>
      </x:c>
      <x:c r="L32" s="55" t="n">
        <x:f>IF(J32=0,0,K32/J32)</x:f>
        <x:v>0</x:v>
      </x:c>
      <x:c r="M32" s="9" t="n">
        <x:f>MIN('03_10回結果'!AE3,'03_10回結果'!AE5,'03_10回結果'!AE7,'03_10回結果'!AE9,'03_10回結果'!AE11,'03_10回結果'!AE13,'03_10回結果'!AE15,'03_10回結果'!AE17,'03_10回結果'!AE19,'03_10回結果'!AE21)</x:f>
        <x:v>0</x:v>
      </x:c>
      <x:c r="N32" s="9" t="n">
        <x:f>MAX('03_10回結果'!AE3,'03_10回結果'!AE5,'03_10回結果'!AE7,'03_10回結果'!AE9,'03_10回結果'!AE11,'03_10回結果'!AE13,'03_10回結果'!AE15,'03_10回結果'!AE17,'03_10回結果'!AE19,'03_10回結果'!AE21)</x:f>
        <x:v>0</x:v>
      </x:c>
      <x:c r="O32" s="9" t="n">
        <x:f>D32-J32</x:f>
        <x:v>0</x:v>
      </x:c>
      <x:c r="P32" s="55" t="n">
        <x:f>IF(D32=0,0,O32/D32)</x:f>
        <x:v>0</x:v>
      </x:c>
    </x:row>
    <x:row r="33">
      <x:c r="A33" s="8" t="str">
        <x:v>CG倍精度 全体</x:v>
      </x:c>
      <x:c r="B33" s="8" t="str">
        <x:v>秒</x:v>
      </x:c>
      <x:c r="C33" s="62" t="n">
        <x:f>10</x:f>
        <x:v>10</x:v>
      </x:c>
      <x:c r="D33" s="9" t="n">
        <x:f>AVERAGE('03_10回結果'!AF2,'03_10回結果'!AF4,'03_10回結果'!AF6,'03_10回結果'!AF8,'03_10回結果'!AF10,'03_10回結果'!AF12,'03_10回結果'!AF14,'03_10回結果'!AF16,'03_10回結果'!AF18,'03_10回結果'!AF20)</x:f>
        <x:v>0</x:v>
      </x:c>
      <x:c r="E33" s="9" t="n">
        <x:f>STDEV.S('03_10回結果'!AF2,'03_10回結果'!AF4,'03_10回結果'!AF6,'03_10回結果'!AF8,'03_10回結果'!AF10,'03_10回結果'!AF12,'03_10回結果'!AF14,'03_10回結果'!AF16,'03_10回結果'!AF18,'03_10回結果'!AF20)</x:f>
        <x:v>0</x:v>
      </x:c>
      <x:c r="F33" s="55" t="n">
        <x:f>IF(D33=0,0,E33/D33)</x:f>
        <x:v>0</x:v>
      </x:c>
      <x:c r="G33" s="9" t="n">
        <x:f>MIN('03_10回結果'!AF2,'03_10回結果'!AF4,'03_10回結果'!AF6,'03_10回結果'!AF8,'03_10回結果'!AF10,'03_10回結果'!AF12,'03_10回結果'!AF14,'03_10回結果'!AF16,'03_10回結果'!AF18,'03_10回結果'!AF20)</x:f>
        <x:v>0</x:v>
      </x:c>
      <x:c r="H33" s="9" t="n">
        <x:f>MAX('03_10回結果'!AF2,'03_10回結果'!AF4,'03_10回結果'!AF6,'03_10回結果'!AF8,'03_10回結果'!AF10,'03_10回結果'!AF12,'03_10回結果'!AF14,'03_10回結果'!AF16,'03_10回結果'!AF18,'03_10回結果'!AF20)</x:f>
        <x:v>0</x:v>
      </x:c>
      <x:c r="I33" s="62" t="n">
        <x:f>10</x:f>
        <x:v>10</x:v>
      </x:c>
      <x:c r="J33" s="9" t="n">
        <x:f>AVERAGE('03_10回結果'!AF3,'03_10回結果'!AF5,'03_10回結果'!AF7,'03_10回結果'!AF9,'03_10回結果'!AF11,'03_10回結果'!AF13,'03_10回結果'!AF15,'03_10回結果'!AF17,'03_10回結果'!AF19,'03_10回結果'!AF21)</x:f>
        <x:v>0</x:v>
      </x:c>
      <x:c r="K33" s="9" t="n">
        <x:f>STDEV.S('03_10回結果'!AF3,'03_10回結果'!AF5,'03_10回結果'!AF7,'03_10回結果'!AF9,'03_10回結果'!AF11,'03_10回結果'!AF13,'03_10回結果'!AF15,'03_10回結果'!AF17,'03_10回結果'!AF19,'03_10回結果'!AF21)</x:f>
        <x:v>0</x:v>
      </x:c>
      <x:c r="L33" s="55" t="n">
        <x:f>IF(J33=0,0,K33/J33)</x:f>
        <x:v>0</x:v>
      </x:c>
      <x:c r="M33" s="9" t="n">
        <x:f>MIN('03_10回結果'!AF3,'03_10回結果'!AF5,'03_10回結果'!AF7,'03_10回結果'!AF9,'03_10回結果'!AF11,'03_10回結果'!AF13,'03_10回結果'!AF15,'03_10回結果'!AF17,'03_10回結果'!AF19,'03_10回結果'!AF21)</x:f>
        <x:v>0</x:v>
      </x:c>
      <x:c r="N33" s="9" t="n">
        <x:f>MAX('03_10回結果'!AF3,'03_10回結果'!AF5,'03_10回結果'!AF7,'03_10回結果'!AF9,'03_10回結果'!AF11,'03_10回結果'!AF13,'03_10回結果'!AF15,'03_10回結果'!AF17,'03_10回結果'!AF19,'03_10回結果'!AF21)</x:f>
        <x:v>0</x:v>
      </x:c>
      <x:c r="O33" s="9" t="n">
        <x:f>D33-J33</x:f>
        <x:v>0</x:v>
      </x:c>
      <x:c r="P33" s="55" t="n">
        <x:f>IF(D33=0,0,O33/D33)</x:f>
        <x:v>0</x:v>
      </x:c>
    </x:row>
    <x:row r="34">
      <x:c r="A34" s="8" t="str">
        <x:v>CG倍精度 残差更新</x:v>
      </x:c>
      <x:c r="B34" s="8" t="str">
        <x:v>秒</x:v>
      </x:c>
      <x:c r="C34" s="62" t="n">
        <x:f>10</x:f>
        <x:v>10</x:v>
      </x:c>
      <x:c r="D34" s="9" t="n">
        <x:f>AVERAGE('03_10回結果'!AG2,'03_10回結果'!AG4,'03_10回結果'!AG6,'03_10回結果'!AG8,'03_10回結果'!AG10,'03_10回結果'!AG12,'03_10回結果'!AG14,'03_10回結果'!AG16,'03_10回結果'!AG18,'03_10回結果'!AG20)</x:f>
        <x:v>0</x:v>
      </x:c>
      <x:c r="E34" s="9" t="n">
        <x:f>STDEV.S('03_10回結果'!AG2,'03_10回結果'!AG4,'03_10回結果'!AG6,'03_10回結果'!AG8,'03_10回結果'!AG10,'03_10回結果'!AG12,'03_10回結果'!AG14,'03_10回結果'!AG16,'03_10回結果'!AG18,'03_10回結果'!AG20)</x:f>
        <x:v>0</x:v>
      </x:c>
      <x:c r="F34" s="55" t="n">
        <x:f>IF(D34=0,0,E34/D34)</x:f>
        <x:v>0</x:v>
      </x:c>
      <x:c r="G34" s="9" t="n">
        <x:f>MIN('03_10回結果'!AG2,'03_10回結果'!AG4,'03_10回結果'!AG6,'03_10回結果'!AG8,'03_10回結果'!AG10,'03_10回結果'!AG12,'03_10回結果'!AG14,'03_10回結果'!AG16,'03_10回結果'!AG18,'03_10回結果'!AG20)</x:f>
        <x:v>0</x:v>
      </x:c>
      <x:c r="H34" s="9" t="n">
        <x:f>MAX('03_10回結果'!AG2,'03_10回結果'!AG4,'03_10回結果'!AG6,'03_10回結果'!AG8,'03_10回結果'!AG10,'03_10回結果'!AG12,'03_10回結果'!AG14,'03_10回結果'!AG16,'03_10回結果'!AG18,'03_10回結果'!AG20)</x:f>
        <x:v>0</x:v>
      </x:c>
      <x:c r="I34" s="62" t="n">
        <x:f>10</x:f>
        <x:v>10</x:v>
      </x:c>
      <x:c r="J34" s="9" t="n">
        <x:f>AVERAGE('03_10回結果'!AG3,'03_10回結果'!AG5,'03_10回結果'!AG7,'03_10回結果'!AG9,'03_10回結果'!AG11,'03_10回結果'!AG13,'03_10回結果'!AG15,'03_10回結果'!AG17,'03_10回結果'!AG19,'03_10回結果'!AG21)</x:f>
        <x:v>0</x:v>
      </x:c>
      <x:c r="K34" s="9" t="n">
        <x:f>STDEV.S('03_10回結果'!AG3,'03_10回結果'!AG5,'03_10回結果'!AG7,'03_10回結果'!AG9,'03_10回結果'!AG11,'03_10回結果'!AG13,'03_10回結果'!AG15,'03_10回結果'!AG17,'03_10回結果'!AG19,'03_10回結果'!AG21)</x:f>
        <x:v>0</x:v>
      </x:c>
      <x:c r="L34" s="55" t="n">
        <x:f>IF(J34=0,0,K34/J34)</x:f>
        <x:v>0</x:v>
      </x:c>
      <x:c r="M34" s="9" t="n">
        <x:f>MIN('03_10回結果'!AG3,'03_10回結果'!AG5,'03_10回結果'!AG7,'03_10回結果'!AG9,'03_10回結果'!AG11,'03_10回結果'!AG13,'03_10回結果'!AG15,'03_10回結果'!AG17,'03_10回結果'!AG19,'03_10回結果'!AG21)</x:f>
        <x:v>0</x:v>
      </x:c>
      <x:c r="N34" s="9" t="n">
        <x:f>MAX('03_10回結果'!AG3,'03_10回結果'!AG5,'03_10回結果'!AG7,'03_10回結果'!AG9,'03_10回結果'!AG11,'03_10回結果'!AG13,'03_10回結果'!AG15,'03_10回結果'!AG17,'03_10回結果'!AG19,'03_10回結果'!AG21)</x:f>
        <x:v>0</x:v>
      </x:c>
      <x:c r="O34" s="9" t="n">
        <x:f>D34-J34</x:f>
        <x:v>0</x:v>
      </x:c>
      <x:c r="P34" s="55" t="n">
        <x:f>IF(D34=0,0,O34/D34)</x:f>
        <x:v>0</x:v>
      </x:c>
    </x:row>
    <x:row r="35">
      <x:c r="A35" s="8" t="str">
        <x:v>D†D倍精度 記録数</x:v>
      </x:c>
      <x:c r="B35" s="8" t="str">
        <x:v>回</x:v>
      </x:c>
      <x:c r="C35" s="62" t="n">
        <x:f>10</x:f>
        <x:v>10</x:v>
      </x:c>
      <x:c r="D35" s="9" t="n">
        <x:f>AVERAGE('03_10回結果'!AH2,'03_10回結果'!AH4,'03_10回結果'!AH6,'03_10回結果'!AH8,'03_10回結果'!AH10,'03_10回結果'!AH12,'03_10回結果'!AH14,'03_10回結果'!AH16,'03_10回結果'!AH18,'03_10回結果'!AH20)</x:f>
        <x:v>7</x:v>
      </x:c>
      <x:c r="E35" s="9" t="n">
        <x:f>STDEV.S('03_10回結果'!AH2,'03_10回結果'!AH4,'03_10回結果'!AH6,'03_10回結果'!AH8,'03_10回結果'!AH10,'03_10回結果'!AH12,'03_10回結果'!AH14,'03_10回結果'!AH16,'03_10回結果'!AH18,'03_10回結果'!AH20)</x:f>
        <x:v>0</x:v>
      </x:c>
      <x:c r="F35" s="55" t="n">
        <x:f>IF(D35=0,0,E35/D35)</x:f>
        <x:v>0</x:v>
      </x:c>
      <x:c r="G35" s="9" t="n">
        <x:f>MIN('03_10回結果'!AH2,'03_10回結果'!AH4,'03_10回結果'!AH6,'03_10回結果'!AH8,'03_10回結果'!AH10,'03_10回結果'!AH12,'03_10回結果'!AH14,'03_10回結果'!AH16,'03_10回結果'!AH18,'03_10回結果'!AH20)</x:f>
        <x:v>7</x:v>
      </x:c>
      <x:c r="H35" s="9" t="n">
        <x:f>MAX('03_10回結果'!AH2,'03_10回結果'!AH4,'03_10回結果'!AH6,'03_10回結果'!AH8,'03_10回結果'!AH10,'03_10回結果'!AH12,'03_10回結果'!AH14,'03_10回結果'!AH16,'03_10回結果'!AH18,'03_10回結果'!AH20)</x:f>
        <x:v>7</x:v>
      </x:c>
      <x:c r="I35" s="62" t="n">
        <x:f>10</x:f>
        <x:v>10</x:v>
      </x:c>
      <x:c r="J35" s="9" t="n">
        <x:f>AVERAGE('03_10回結果'!AH3,'03_10回結果'!AH5,'03_10回結果'!AH7,'03_10回結果'!AH9,'03_10回結果'!AH11,'03_10回結果'!AH13,'03_10回結果'!AH15,'03_10回結果'!AH17,'03_10回結果'!AH19,'03_10回結果'!AH21)</x:f>
        <x:v>7</x:v>
      </x:c>
      <x:c r="K35" s="9" t="n">
        <x:f>STDEV.S('03_10回結果'!AH3,'03_10回結果'!AH5,'03_10回結果'!AH7,'03_10回結果'!AH9,'03_10回結果'!AH11,'03_10回結果'!AH13,'03_10回結果'!AH15,'03_10回結果'!AH17,'03_10回結果'!AH19,'03_10回結果'!AH21)</x:f>
        <x:v>0</x:v>
      </x:c>
      <x:c r="L35" s="55" t="n">
        <x:f>IF(J35=0,0,K35/J35)</x:f>
        <x:v>0</x:v>
      </x:c>
      <x:c r="M35" s="9" t="n">
        <x:f>MIN('03_10回結果'!AH3,'03_10回結果'!AH5,'03_10回結果'!AH7,'03_10回結果'!AH9,'03_10回結果'!AH11,'03_10回結果'!AH13,'03_10回結果'!AH15,'03_10回結果'!AH17,'03_10回結果'!AH19,'03_10回結果'!AH21)</x:f>
        <x:v>7</x:v>
      </x:c>
      <x:c r="N35" s="9" t="n">
        <x:f>MAX('03_10回結果'!AH3,'03_10回結果'!AH5,'03_10回結果'!AH7,'03_10回結果'!AH9,'03_10回結果'!AH11,'03_10回結果'!AH13,'03_10回結果'!AH15,'03_10回結果'!AH17,'03_10回結果'!AH19,'03_10回結果'!AH21)</x:f>
        <x:v>7</x:v>
      </x:c>
      <x:c r="O35" s="9" t="n">
        <x:f>D35-J35</x:f>
        <x:v>0</x:v>
      </x:c>
      <x:c r="P35" s="55" t="n">
        <x:f>IF(D35=0,0,O35/D35)</x:f>
        <x:v>0</x:v>
      </x:c>
    </x:row>
    <x:row r="36">
      <x:c r="A36" s="8" t="str">
        <x:v>D†D倍精度 呼出回数</x:v>
      </x:c>
      <x:c r="B36" s="8" t="str">
        <x:v>回</x:v>
      </x:c>
      <x:c r="C36" s="62" t="n">
        <x:f>10</x:f>
        <x:v>10</x:v>
      </x:c>
      <x:c r="D36" s="9" t="n">
        <x:f>AVERAGE('03_10回結果'!AI2,'03_10回結果'!AI4,'03_10回結果'!AI6,'03_10回結果'!AI8,'03_10回結果'!AI10,'03_10回結果'!AI12,'03_10回結果'!AI14,'03_10回結果'!AI16,'03_10回結果'!AI18,'03_10回結果'!AI20)</x:f>
        <x:v>2150</x:v>
      </x:c>
      <x:c r="E36" s="9" t="n">
        <x:f>STDEV.S('03_10回結果'!AI2,'03_10回結果'!AI4,'03_10回結果'!AI6,'03_10回結果'!AI8,'03_10回結果'!AI10,'03_10回結果'!AI12,'03_10回結果'!AI14,'03_10回結果'!AI16,'03_10回結果'!AI18,'03_10回結果'!AI20)</x:f>
        <x:v>0</x:v>
      </x:c>
      <x:c r="F36" s="55" t="n">
        <x:f>IF(D36=0,0,E36/D36)</x:f>
        <x:v>0</x:v>
      </x:c>
      <x:c r="G36" s="9" t="n">
        <x:f>MIN('03_10回結果'!AI2,'03_10回結果'!AI4,'03_10回結果'!AI6,'03_10回結果'!AI8,'03_10回結果'!AI10,'03_10回結果'!AI12,'03_10回結果'!AI14,'03_10回結果'!AI16,'03_10回結果'!AI18,'03_10回結果'!AI20)</x:f>
        <x:v>2150</x:v>
      </x:c>
      <x:c r="H36" s="9" t="n">
        <x:f>MAX('03_10回結果'!AI2,'03_10回結果'!AI4,'03_10回結果'!AI6,'03_10回結果'!AI8,'03_10回結果'!AI10,'03_10回結果'!AI12,'03_10回結果'!AI14,'03_10回結果'!AI16,'03_10回結果'!AI18,'03_10回結果'!AI20)</x:f>
        <x:v>2150</x:v>
      </x:c>
      <x:c r="I36" s="62" t="n">
        <x:f>10</x:f>
        <x:v>10</x:v>
      </x:c>
      <x:c r="J36" s="9" t="n">
        <x:f>AVERAGE('03_10回結果'!AI3,'03_10回結果'!AI5,'03_10回結果'!AI7,'03_10回結果'!AI9,'03_10回結果'!AI11,'03_10回結果'!AI13,'03_10回結果'!AI15,'03_10回結果'!AI17,'03_10回結果'!AI19,'03_10回結果'!AI21)</x:f>
        <x:v>2150</x:v>
      </x:c>
      <x:c r="K36" s="9" t="n">
        <x:f>STDEV.S('03_10回結果'!AI3,'03_10回結果'!AI5,'03_10回結果'!AI7,'03_10回結果'!AI9,'03_10回結果'!AI11,'03_10回結果'!AI13,'03_10回結果'!AI15,'03_10回結果'!AI17,'03_10回結果'!AI19,'03_10回結果'!AI21)</x:f>
        <x:v>0</x:v>
      </x:c>
      <x:c r="L36" s="55" t="n">
        <x:f>IF(J36=0,0,K36/J36)</x:f>
        <x:v>0</x:v>
      </x:c>
      <x:c r="M36" s="9" t="n">
        <x:f>MIN('03_10回結果'!AI3,'03_10回結果'!AI5,'03_10回結果'!AI7,'03_10回結果'!AI9,'03_10回結果'!AI11,'03_10回結果'!AI13,'03_10回結果'!AI15,'03_10回結果'!AI17,'03_10回結果'!AI19,'03_10回結果'!AI21)</x:f>
        <x:v>2150</x:v>
      </x:c>
      <x:c r="N36" s="9" t="n">
        <x:f>MAX('03_10回結果'!AI3,'03_10回結果'!AI5,'03_10回結果'!AI7,'03_10回結果'!AI9,'03_10回結果'!AI11,'03_10回結果'!AI13,'03_10回結果'!AI15,'03_10回結果'!AI17,'03_10回結果'!AI19,'03_10回結果'!AI21)</x:f>
        <x:v>2150</x:v>
      </x:c>
      <x:c r="O36" s="9" t="n">
        <x:f>D36-J36</x:f>
        <x:v>0</x:v>
      </x:c>
      <x:c r="P36" s="55" t="n">
        <x:f>IF(D36=0,0,O36/D36)</x:f>
        <x:v>0</x:v>
      </x:c>
    </x:row>
    <x:row r="37">
      <x:c r="A37" s="8" t="str">
        <x:v>D†D倍精度 全体</x:v>
      </x:c>
      <x:c r="B37" s="8" t="str">
        <x:v>秒</x:v>
      </x:c>
      <x:c r="C37" s="62" t="n">
        <x:f>10</x:f>
        <x:v>10</x:v>
      </x:c>
      <x:c r="D37" s="9" t="n">
        <x:f>AVERAGE('03_10回結果'!AJ2,'03_10回結果'!AJ4,'03_10回結果'!AJ6,'03_10回結果'!AJ8,'03_10回結果'!AJ10,'03_10回結果'!AJ12,'03_10回結果'!AJ14,'03_10回結果'!AJ16,'03_10回結果'!AJ18,'03_10回結果'!AJ20)</x:f>
        <x:v>2.536015311252</x:v>
      </x:c>
      <x:c r="E37" s="9" t="n">
        <x:f>STDEV.S('03_10回結果'!AJ2,'03_10回結果'!AJ4,'03_10回結果'!AJ6,'03_10回結果'!AJ8,'03_10回結果'!AJ10,'03_10回結果'!AJ12,'03_10回結果'!AJ14,'03_10回結果'!AJ16,'03_10回結果'!AJ18,'03_10回結果'!AJ20)</x:f>
        <x:v>0.05738043684702319</x:v>
      </x:c>
      <x:c r="F37" s="55" t="n">
        <x:f>IF(D37=0,0,E37/D37)</x:f>
        <x:v>0.022626218616438543</x:v>
      </x:c>
      <x:c r="G37" s="9" t="n">
        <x:f>MIN('03_10回結果'!AJ2,'03_10回結果'!AJ4,'03_10回結果'!AJ6,'03_10回結果'!AJ8,'03_10回結果'!AJ10,'03_10回結果'!AJ12,'03_10回結果'!AJ14,'03_10回結果'!AJ16,'03_10回結果'!AJ18,'03_10回結果'!AJ20)</x:f>
        <x:v>2.47174258552</x:v>
      </x:c>
      <x:c r="H37" s="9" t="n">
        <x:f>MAX('03_10回結果'!AJ2,'03_10回結果'!AJ4,'03_10回結果'!AJ6,'03_10回結果'!AJ8,'03_10回結果'!AJ10,'03_10回結果'!AJ12,'03_10回結果'!AJ14,'03_10回結果'!AJ16,'03_10回結果'!AJ18,'03_10回結果'!AJ20)</x:f>
        <x:v>2.61669814244</x:v>
      </x:c>
      <x:c r="I37" s="62" t="n">
        <x:f>10</x:f>
        <x:v>10</x:v>
      </x:c>
      <x:c r="J37" s="9" t="n">
        <x:f>AVERAGE('03_10回結果'!AJ3,'03_10回結果'!AJ5,'03_10回結果'!AJ7,'03_10回結果'!AJ9,'03_10回結果'!AJ11,'03_10回結果'!AJ13,'03_10回結果'!AJ15,'03_10回結果'!AJ17,'03_10回結果'!AJ19,'03_10回結果'!AJ21)</x:f>
        <x:v>2.524120801118</x:v>
      </x:c>
      <x:c r="K37" s="9" t="n">
        <x:f>STDEV.S('03_10回結果'!AJ3,'03_10回結果'!AJ5,'03_10回結果'!AJ7,'03_10回結果'!AJ9,'03_10回結果'!AJ11,'03_10回結果'!AJ13,'03_10回結果'!AJ15,'03_10回結果'!AJ17,'03_10回結果'!AJ19,'03_10回結果'!AJ21)</x:f>
        <x:v>0.09275903212110687</x:v>
      </x:c>
      <x:c r="L37" s="55" t="n">
        <x:f>IF(J37=0,0,K37/J37)</x:f>
        <x:v>0.03674904627386353</x:v>
      </x:c>
      <x:c r="M37" s="9" t="n">
        <x:f>MIN('03_10回結果'!AJ3,'03_10回結果'!AJ5,'03_10回結果'!AJ7,'03_10回結果'!AJ9,'03_10回結果'!AJ11,'03_10回結果'!AJ13,'03_10回結果'!AJ15,'03_10回結果'!AJ17,'03_10回結果'!AJ19,'03_10回結果'!AJ21)</x:f>
        <x:v>2.44921882636</x:v>
      </x:c>
      <x:c r="N37" s="9" t="n">
        <x:f>MAX('03_10回結果'!AJ3,'03_10回結果'!AJ5,'03_10回結果'!AJ7,'03_10回結果'!AJ9,'03_10回結果'!AJ11,'03_10回結果'!AJ13,'03_10回結果'!AJ15,'03_10回結果'!AJ17,'03_10回結果'!AJ19,'03_10回結果'!AJ21)</x:f>
        <x:v>2.69310638136</x:v>
      </x:c>
      <x:c r="O37" s="9" t="n">
        <x:f>D37-J37</x:f>
        <x:v>0.011894510134000225</x:v>
      </x:c>
      <x:c r="P37" s="55" t="n">
        <x:f>IF(D37=0,0,O37/D37)</x:f>
        <x:v>0.0046902359308422506</x:v>
      </x:c>
    </x:row>
    <x:row r="38">
      <x:c r="A38" s="8" t="str">
        <x:v>D†D倍精度 combine</x:v>
      </x:c>
      <x:c r="B38" s="8" t="str">
        <x:v>秒</x:v>
      </x:c>
      <x:c r="C38" s="62" t="n">
        <x:f>10</x:f>
        <x:v>10</x:v>
      </x:c>
      <x:c r="D38" s="9" t="n">
        <x:f>AVERAGE('03_10回結果'!AK2,'03_10回結果'!AK4,'03_10回結果'!AK6,'03_10回結果'!AK8,'03_10回結果'!AK10,'03_10回結果'!AK12,'03_10回結果'!AK14,'03_10回結果'!AK16,'03_10回結果'!AK18,'03_10回結果'!AK20)</x:f>
        <x:v>0.05994178804410999</x:v>
      </x:c>
      <x:c r="E38" s="9" t="n">
        <x:f>STDEV.S('03_10回結果'!AK2,'03_10回結果'!AK4,'03_10回結果'!AK6,'03_10回結果'!AK8,'03_10回結果'!AK10,'03_10回結果'!AK12,'03_10回結果'!AK14,'03_10回結果'!AK16,'03_10回結果'!AK18,'03_10回結果'!AK20)</x:f>
        <x:v>0.0014532697573109974</x:v>
      </x:c>
      <x:c r="F38" s="55" t="n">
        <x:f>IF(D38=0,0,E38/D38)</x:f>
        <x:v>0.024244684797216337</x:v>
      </x:c>
      <x:c r="G38" s="9" t="n">
        <x:f>MIN('03_10回結果'!AK2,'03_10回結果'!AK4,'03_10回結果'!AK6,'03_10回結果'!AK8,'03_10回結果'!AK10,'03_10回結果'!AK12,'03_10回結果'!AK14,'03_10回結果'!AK16,'03_10回結果'!AK18,'03_10回結果'!AK20)</x:f>
        <x:v>0.0570082700074</x:v>
      </x:c>
      <x:c r="H38" s="9" t="n">
        <x:f>MAX('03_10回結果'!AK2,'03_10回結果'!AK4,'03_10回結果'!AK6,'03_10回結果'!AK8,'03_10回結果'!AK10,'03_10回結果'!AK12,'03_10回結果'!AK14,'03_10回結果'!AK16,'03_10回結果'!AK18,'03_10回結果'!AK20)</x:f>
        <x:v>0.0625268325618</x:v>
      </x:c>
      <x:c r="I38" s="62" t="n">
        <x:f>10</x:f>
        <x:v>10</x:v>
      </x:c>
      <x:c r="J38" s="9" t="n">
        <x:f>AVERAGE('03_10回結果'!AK3,'03_10回結果'!AK5,'03_10回結果'!AK7,'03_10回結果'!AK9,'03_10回結果'!AK11,'03_10回結果'!AK13,'03_10回結果'!AK15,'03_10回結果'!AK17,'03_10回結果'!AK19,'03_10回結果'!AK21)</x:f>
        <x:v>0.04258590150914</x:v>
      </x:c>
      <x:c r="K38" s="9" t="n">
        <x:f>STDEV.S('03_10回結果'!AK3,'03_10回結果'!AK5,'03_10回結果'!AK7,'03_10回結果'!AK9,'03_10回結果'!AK11,'03_10回結果'!AK13,'03_10回結果'!AK15,'03_10回結果'!AK17,'03_10回結果'!AK19,'03_10回結果'!AK21)</x:f>
        <x:v>0.0007815370150956865</x:v>
      </x:c>
      <x:c r="L38" s="55" t="n">
        <x:f>IF(J38=0,0,K38/J38)</x:f>
        <x:v>0.018352012929160347</x:v>
      </x:c>
      <x:c r="M38" s="9" t="n">
        <x:f>MIN('03_10回結果'!AK3,'03_10回結果'!AK5,'03_10回結果'!AK7,'03_10回結果'!AK9,'03_10回結果'!AK11,'03_10回結果'!AK13,'03_10回結果'!AK15,'03_10回結果'!AK17,'03_10回結果'!AK19,'03_10回結果'!AK21)</x:f>
        <x:v>0.0414191729282</x:v>
      </x:c>
      <x:c r="N38" s="9" t="n">
        <x:f>MAX('03_10回結果'!AK3,'03_10回結果'!AK5,'03_10回結果'!AK7,'03_10回結果'!AK9,'03_10回結果'!AK11,'03_10回結果'!AK13,'03_10回結果'!AK15,'03_10回結果'!AK17,'03_10回結果'!AK19,'03_10回結果'!AK21)</x:f>
        <x:v>0.0436508026882</x:v>
      </x:c>
      <x:c r="O38" s="9" t="n">
        <x:f>D38-J38</x:f>
        <x:v>0.017355886534969986</x:v>
      </x:c>
      <x:c r="P38" s="55" t="n">
        <x:f>IF(D38=0,0,O38/D38)</x:f>
        <x:v>0.2895456926009302</x:v>
      </x:c>
    </x:row>
  </x:sheetData>
  <x:mergeCells>
    <x:mergeCell ref="A1:P2"/>
    <x:mergeCell ref="A3:P3"/>
  </x:mergeCells>
  <x:conditionalFormatting sqref="P6:P3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