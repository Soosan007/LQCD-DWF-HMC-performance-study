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a5f91f52b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発表用表" sheetId="1" r:id="Rc8ca94f837f7446d"/>
    <x:sheet xmlns:r="http://schemas.openxmlformats.org/officeDocument/2006/relationships" name="条件別統計" sheetId="2" r:id="Rb29c6c514cf04cbc"/>
    <x:sheet xmlns:r="http://schemas.openxmlformats.org/officeDocument/2006/relationships" name="120回生データ" sheetId="3" r:id="Rb2c347a013284e8e"/>
    <x:sheet xmlns:r="http://schemas.openxmlformats.org/officeDocument/2006/relationships" name="実験条件" sheetId="4" r:id="R2e535aaf610c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x"/>
    <x:numFmt numFmtId="202" formatCode="0.00%"/>
    <x:numFmt numFmtId="203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f258d556c40ff" /><Relationship Type="http://schemas.openxmlformats.org/officeDocument/2006/relationships/theme" Target="/xl/theme/theme1.xml" Id="R63b832bc16ad4764" /><Relationship Type="http://schemas.openxmlformats.org/officeDocument/2006/relationships/sharedStrings" Target="/xl/sharedStrings.xml" Id="Rbb57aa3844834a22" /><Relationship Type="http://schemas.openxmlformats.org/officeDocument/2006/relationships/worksheet" Target="/xl/worksheets/sheet1.xml" Id="Rc8ca94f837f7446d" /><Relationship Type="http://schemas.openxmlformats.org/officeDocument/2006/relationships/worksheet" Target="/xl/worksheets/sheet2.xml" Id="Rb29c6c514cf04cbc" /><Relationship Type="http://schemas.openxmlformats.org/officeDocument/2006/relationships/worksheet" Target="/xl/worksheets/sheet3.xml" Id="Rb2c347a013284e8e" /><Relationship Type="http://schemas.openxmlformats.org/officeDocument/2006/relationships/worksheet" Target="/xl/worksheets/sheet4.xml" Id="R2e535aaf610c44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bb41f3f1a94b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Main平均時間（小さいほど高速）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Main平均 [秒]</c:v>
          </c:tx>
          <c:cat>
            <c:strRef>
              <c:f>'発表用表'!$W$4:$W$15</c:f>
              <c:strCache>
                <c:ptCount val="0"/>
              </c:strCache>
            </c:strRef>
          </c:cat>
          <c:val>
            <c:numRef>
              <c:f>'発表用表'!$X$4:$X$15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bb41f3f1a94b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db77d7cb6444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130000114440918" hidden="0" customWidth="1"/>
    <x:col min="3" max="3" width="13.630000114440918" hidden="0" customWidth="1"/>
    <x:col min="4" max="4" width="11.630000114440918" hidden="0" customWidth="1"/>
    <x:col min="5" max="5" width="11.380000114440918" hidden="0" customWidth="1"/>
    <x:col min="6" max="6" width="6" hidden="0" customWidth="1"/>
    <x:col min="7" max="7" width="9.75" hidden="0" customWidth="1"/>
    <x:col min="8" max="8" width="11.5" hidden="0" customWidth="1"/>
    <x:col min="9" max="9" width="7.5" hidden="0" customWidth="1"/>
    <x:col min="10" max="10" width="13" hidden="0" customWidth="1"/>
  </x:cols>
  <x:sheetData>
    <x:row r="1" ht="18" hidden="0" customHeight="1">
      <x:c r="A1" s="4" t="str">
        <x:v>GPUカーネル設定の性能比較（NVIDIA GB10、各10回）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/>
    <x:row r="3" ht="15" hidden="0" customHeight="1">
      <x:c r="A3" s="10" t="str">
        <x:v>設定</x:v>
      </x:c>
      <x:c r="B3" s="10" t="str">
        <x:v>NUM_WORKERS</x:v>
      </x:c>
      <x:c r="C3" s="10" t="str">
        <x:v>VECTOR_LENGTH</x:v>
      </x:c>
      <x:c r="D3" s="10" t="str">
        <x:v>Main時間 [秒]</x:v>
      </x:c>
      <x:c r="E3" s="10" t="str">
        <x:v>標準偏差 [秒]</x:v>
      </x:c>
      <x:c r="F3" s="10" t="str">
        <x:v>基準比</x:v>
      </x:c>
      <x:c r="G3" s="10" t="str">
        <x:v>時間短縮率</x:v>
      </x:c>
      <x:c r="H3" s="10" t="str">
        <x:v>稼働中SM [%]</x:v>
      </x:c>
      <x:c r="I3" s="10" t="str">
        <x:v>電力 [W]</x:v>
      </x:c>
      <x:c r="J3" s="10" t="str">
        <x:v>判定</x:v>
      </x:c>
      <x:c r="W3" t="str">
        <x:v>設定</x:v>
      </x:c>
      <x:c r="X3" t="str">
        <x:v>Main平均 [秒]</x:v>
      </x:c>
    </x:row>
    <x:row r="4" ht="15" hidden="0" customHeight="1">
      <x:c r="A4" s="11" t="str">
        <x:f>'条件別統計'!A4</x:f>
        <x:v>w1_v32</x:v>
      </x:c>
      <x:c r="B4" s="11" t="n">
        <x:f>'条件別統計'!B4</x:f>
        <x:v>1</x:v>
      </x:c>
      <x:c r="C4" s="11" t="n">
        <x:f>'条件別統計'!C4</x:f>
        <x:v>32</x:v>
      </x:c>
      <x:c r="D4" s="20" t="n">
        <x:f>'条件別統計'!E4</x:f>
        <x:v>20.291000000000004</x:v>
      </x:c>
      <x:c r="E4" s="20" t="n">
        <x:f>'条件別統計'!F4</x:f>
        <x:v>0.26760044843011765</x:v>
      </x:c>
      <x:c r="F4" s="21" t="n">
        <x:f>'条件別統計'!J4</x:f>
        <x:v>1</x:v>
      </x:c>
      <x:c r="G4" s="22" t="n">
        <x:f>'条件別統計'!K4</x:f>
        <x:v>0</x:v>
      </x:c>
      <x:c r="H4" s="23" t="n">
        <x:f>'条件別統計'!L4</x:f>
        <x:v>63.7785982111</x:v>
      </x:c>
      <x:c r="I4" s="23" t="n">
        <x:f>'条件別統計'!M4</x:f>
        <x:v>27.6137151702</x:v>
      </x:c>
      <x:c r="J4" s="11" t="str">
        <x:f>IF(D4=MIN($D$4:$D$15),"最速",IF(D4&lt;=$D$4,"基準以上","基準未満"))</x:f>
        <x:v>基準以上</x:v>
      </x:c>
      <x:c r="W4" t="str">
        <x:f>A4</x:f>
        <x:v>w1_v32</x:v>
      </x:c>
      <x:c r="X4" t="n">
        <x:f>D4</x:f>
        <x:v>20.291000000000004</x:v>
      </x:c>
    </x:row>
    <x:row r="5" ht="15" hidden="0" customHeight="1">
      <x:c r="A5" s="11" t="str">
        <x:f>'条件別統計'!A5</x:f>
        <x:v>w1_v64</x:v>
      </x:c>
      <x:c r="B5" s="11" t="n">
        <x:f>'条件別統計'!B5</x:f>
        <x:v>1</x:v>
      </x:c>
      <x:c r="C5" s="11" t="n">
        <x:f>'条件別統計'!C5</x:f>
        <x:v>64</x:v>
      </x:c>
      <x:c r="D5" s="20" t="n">
        <x:f>'条件別統計'!E5</x:f>
        <x:v>20.238000000000003</x:v>
      </x:c>
      <x:c r="E5" s="20" t="n">
        <x:f>'条件別統計'!F5</x:f>
        <x:v>0.28479232199388144</x:v>
      </x:c>
      <x:c r="F5" s="21" t="n">
        <x:f>'条件別統計'!J5</x:f>
        <x:v>1.0026188358533452</x:v>
      </x:c>
      <x:c r="G5" s="22" t="n">
        <x:f>'条件別統計'!K5</x:f>
        <x:v>0.0026119954659701294</x:v>
      </x:c>
      <x:c r="H5" s="23" t="n">
        <x:f>'条件別統計'!L5</x:f>
        <x:v>63.504678362599996</x:v>
      </x:c>
      <x:c r="I5" s="23" t="n">
        <x:f>'条件別統計'!M5</x:f>
        <x:v>28.030409356699998</x:v>
      </x:c>
      <x:c r="J5" s="11" t="str">
        <x:f>IF(D5=MIN($D$4:$D$15),"最速",IF(D5&lt;=$D$4,"基準以上","基準未満"))</x:f>
        <x:v>最速</x:v>
      </x:c>
      <x:c r="W5" t="str">
        <x:f>A5</x:f>
        <x:v>w1_v64</x:v>
      </x:c>
      <x:c r="X5" t="n">
        <x:f>D5</x:f>
        <x:v>20.238000000000003</x:v>
      </x:c>
    </x:row>
    <x:row r="6" ht="15" hidden="0" customHeight="1">
      <x:c r="A6" s="11" t="str">
        <x:f>'条件別統計'!A6</x:f>
        <x:v>w1_v128</x:v>
      </x:c>
      <x:c r="B6" s="11" t="n">
        <x:f>'条件別統計'!B6</x:f>
        <x:v>1</x:v>
      </x:c>
      <x:c r="C6" s="11" t="n">
        <x:f>'条件別統計'!C6</x:f>
        <x:v>128</x:v>
      </x:c>
      <x:c r="D6" s="20" t="n">
        <x:f>'条件別統計'!E6</x:f>
        <x:v>20.459</x:v>
      </x:c>
      <x:c r="E6" s="20" t="n">
        <x:f>'条件別統計'!F6</x:f>
        <x:v>0.35482233425883525</x:v>
      </x:c>
      <x:c r="F6" s="21" t="n">
        <x:f>'条件別統計'!J6</x:f>
        <x:v>0.991788454958698</x:v>
      </x:c>
      <x:c r="G6" s="22" t="n">
        <x:f>'条件別統計'!K6</x:f>
        <x:v>-0.008279532797791811</x:v>
      </x:c>
      <x:c r="H6" s="23" t="n">
        <x:f>'条件別統計'!L6</x:f>
        <x:v>63.766052631499996</x:v>
      </x:c>
      <x:c r="I6" s="23" t="n">
        <x:f>'条件別統計'!M6</x:f>
        <x:v>28.1218128654</x:v>
      </x:c>
      <x:c r="J6" s="11" t="str">
        <x:f>IF(D6=MIN($D$4:$D$15),"最速",IF(D6&lt;=$D$4,"基準以上","基準未満"))</x:f>
        <x:v>基準未満</x:v>
      </x:c>
      <x:c r="W6" t="str">
        <x:f>A6</x:f>
        <x:v>w1_v128</x:v>
      </x:c>
      <x:c r="X6" t="n">
        <x:f>D6</x:f>
        <x:v>20.459</x:v>
      </x:c>
    </x:row>
    <x:row r="7" ht="15" hidden="0" customHeight="1">
      <x:c r="A7" s="11" t="str">
        <x:f>'条件別統計'!A7</x:f>
        <x:v>w2_v32</x:v>
      </x:c>
      <x:c r="B7" s="11" t="n">
        <x:f>'条件別統計'!B7</x:f>
        <x:v>2</x:v>
      </x:c>
      <x:c r="C7" s="11" t="n">
        <x:f>'条件別統計'!C7</x:f>
        <x:v>32</x:v>
      </x:c>
      <x:c r="D7" s="20" t="n">
        <x:f>'条件別統計'!E7</x:f>
        <x:v>20.370000000000005</x:v>
      </x:c>
      <x:c r="E7" s="20" t="n">
        <x:f>'条件別統計'!F7</x:f>
        <x:v>0.16579773487261149</x:v>
      </x:c>
      <x:c r="F7" s="21" t="n">
        <x:f>'条件別統計'!J7</x:f>
        <x:v>0.9961217476681394</x:v>
      </x:c>
      <x:c r="G7" s="22" t="n">
        <x:f>'条件別統計'!K7</x:f>
        <x:v>-0.003893351732295214</x:v>
      </x:c>
      <x:c r="H7" s="23" t="n">
        <x:f>'条件別統計'!L7</x:f>
        <x:v>63.362573099500004</x:v>
      </x:c>
      <x:c r="I7" s="23" t="n">
        <x:f>'条件別統計'!M7</x:f>
        <x:v>28.3874269006</x:v>
      </x:c>
      <x:c r="J7" s="11" t="str">
        <x:f>IF(D7=MIN($D$4:$D$15),"最速",IF(D7&lt;=$D$4,"基準以上","基準未満"))</x:f>
        <x:v>基準未満</x:v>
      </x:c>
      <x:c r="W7" t="str">
        <x:f>A7</x:f>
        <x:v>w2_v32</x:v>
      </x:c>
      <x:c r="X7" t="n">
        <x:f>D7</x:f>
        <x:v>20.370000000000005</x:v>
      </x:c>
    </x:row>
    <x:row r="8" ht="15" hidden="0" customHeight="1">
      <x:c r="A8" s="11" t="str">
        <x:f>'条件別統計'!A8</x:f>
        <x:v>w2_v64</x:v>
      </x:c>
      <x:c r="B8" s="11" t="n">
        <x:f>'条件別統計'!B8</x:f>
        <x:v>2</x:v>
      </x:c>
      <x:c r="C8" s="11" t="n">
        <x:f>'条件別統計'!C8</x:f>
        <x:v>64</x:v>
      </x:c>
      <x:c r="D8" s="20" t="n">
        <x:f>'条件別統計'!E8</x:f>
        <x:v>20.577</x:v>
      </x:c>
      <x:c r="E8" s="20" t="n">
        <x:f>'条件別統計'!F8</x:f>
        <x:v>0.302289412465751</x:v>
      </x:c>
      <x:c r="F8" s="21" t="n">
        <x:f>'条件別統計'!J8</x:f>
        <x:v>0.9861009865383682</x:v>
      </x:c>
      <x:c r="G8" s="22" t="n">
        <x:f>'条件別統計'!K8</x:f>
        <x:v>-0.014094918929574485</x:v>
      </x:c>
      <x:c r="H8" s="23" t="n">
        <x:f>'条件別統計'!L8</x:f>
        <x:v>65.6328070175</x:v>
      </x:c>
      <x:c r="I8" s="23" t="n">
        <x:f>'条件別統計'!M8</x:f>
        <x:v>28.1914035086</x:v>
      </x:c>
      <x:c r="J8" s="11" t="str">
        <x:f>IF(D8=MIN($D$4:$D$15),"最速",IF(D8&lt;=$D$4,"基準以上","基準未満"))</x:f>
        <x:v>基準未満</x:v>
      </x:c>
      <x:c r="W8" t="str">
        <x:f>A8</x:f>
        <x:v>w2_v64</x:v>
      </x:c>
      <x:c r="X8" t="n">
        <x:f>D8</x:f>
        <x:v>20.577</x:v>
      </x:c>
    </x:row>
    <x:row r="9" ht="15" hidden="0" customHeight="1">
      <x:c r="A9" s="11" t="str">
        <x:f>'条件別統計'!A9</x:f>
        <x:v>w2_v128</x:v>
      </x:c>
      <x:c r="B9" s="11" t="n">
        <x:f>'条件別統計'!B9</x:f>
        <x:v>2</x:v>
      </x:c>
      <x:c r="C9" s="11" t="n">
        <x:f>'条件別統計'!C9</x:f>
        <x:v>128</x:v>
      </x:c>
      <x:c r="D9" s="20" t="n">
        <x:f>'条件別統計'!E9</x:f>
        <x:v>21.077</x:v>
      </x:c>
      <x:c r="E9" s="20" t="n">
        <x:f>'条件別統計'!F9</x:f>
        <x:v>0.2065618013519869</x:v>
      </x:c>
      <x:c r="F9" s="21" t="n">
        <x:f>'条件別統計'!J9</x:f>
        <x:v>0.9627081652986669</x:v>
      </x:c>
      <x:c r="G9" s="22" t="n">
        <x:f>'条件別統計'!K9</x:f>
        <x:v>-0.038736385589670075</x:v>
      </x:c>
      <x:c r="H9" s="23" t="n">
        <x:f>'条件別統計'!L9</x:f>
        <x:v>66.8371001033</x:v>
      </x:c>
      <x:c r="I9" s="23" t="n">
        <x:f>'条件別統計'!M9</x:f>
        <x:v>27.940686274500003</x:v>
      </x:c>
      <x:c r="J9" s="11" t="str">
        <x:f>IF(D9=MIN($D$4:$D$15),"最速",IF(D9&lt;=$D$4,"基準以上","基準未満"))</x:f>
        <x:v>基準未満</x:v>
      </x:c>
      <x:c r="W9" t="str">
        <x:f>A9</x:f>
        <x:v>w2_v128</x:v>
      </x:c>
      <x:c r="X9" t="n">
        <x:f>D9</x:f>
        <x:v>21.077</x:v>
      </x:c>
    </x:row>
    <x:row r="10" ht="15" hidden="0" customHeight="1">
      <x:c r="A10" s="11" t="str">
        <x:f>'条件別統計'!A10</x:f>
        <x:v>w4_v32</x:v>
      </x:c>
      <x:c r="B10" s="11" t="n">
        <x:f>'条件別統計'!B10</x:f>
        <x:v>4</x:v>
      </x:c>
      <x:c r="C10" s="11" t="n">
        <x:f>'条件別統計'!C10</x:f>
        <x:v>32</x:v>
      </x:c>
      <x:c r="D10" s="20" t="n">
        <x:f>'条件別統計'!E10</x:f>
        <x:v>20.466</x:v>
      </x:c>
      <x:c r="E10" s="20" t="n">
        <x:f>'条件別統計'!F10</x:f>
        <x:v>0.3675202186426097</x:v>
      </x:c>
      <x:c r="F10" s="21" t="n">
        <x:f>'条件別統計'!J10</x:f>
        <x:v>0.9914492328740351</x:v>
      </x:c>
      <x:c r="G10" s="22" t="n">
        <x:f>'条件別統計'!K10</x:f>
        <x:v>-0.008624513331033423</x:v>
      </x:c>
      <x:c r="H10" s="23" t="n">
        <x:f>'条件別統計'!L10</x:f>
        <x:v>63.18187134500001</x:v>
      </x:c>
      <x:c r="I10" s="23" t="n">
        <x:f>'条件別統計'!M10</x:f>
        <x:v>28.3239473682</x:v>
      </x:c>
      <x:c r="J10" s="11" t="str">
        <x:f>IF(D10=MIN($D$4:$D$15),"最速",IF(D10&lt;=$D$4,"基準以上","基準未満"))</x:f>
        <x:v>基準未満</x:v>
      </x:c>
      <x:c r="W10" t="str">
        <x:f>A10</x:f>
        <x:v>w4_v32</x:v>
      </x:c>
      <x:c r="X10" t="n">
        <x:f>D10</x:f>
        <x:v>20.466</x:v>
      </x:c>
    </x:row>
    <x:row r="11" ht="15" hidden="0" customHeight="1">
      <x:c r="A11" s="11" t="str">
        <x:f>'条件別統計'!A11</x:f>
        <x:v>w4_v64</x:v>
      </x:c>
      <x:c r="B11" s="11" t="n">
        <x:f>'条件別統計'!B11</x:f>
        <x:v>4</x:v>
      </x:c>
      <x:c r="C11" s="11" t="n">
        <x:f>'条件別統計'!C11</x:f>
        <x:v>64</x:v>
      </x:c>
      <x:c r="D11" s="20" t="n">
        <x:f>'条件別統計'!E11</x:f>
        <x:v>21.039</x:v>
      </x:c>
      <x:c r="E11" s="20" t="n">
        <x:f>'条件別統計'!F11</x:f>
        <x:v>0.2769456424804129</x:v>
      </x:c>
      <x:c r="F11" s="21" t="n">
        <x:f>'条件別統計'!J11</x:f>
        <x:v>0.964446979419174</x:v>
      </x:c>
      <x:c r="G11" s="22" t="n">
        <x:f>'条件別統計'!K11</x:f>
        <x:v>-0.03686363412350291</x:v>
      </x:c>
      <x:c r="H11" s="23" t="n">
        <x:f>'条件別統計'!L11</x:f>
        <x:v>64.11543859650001</x:v>
      </x:c>
      <x:c r="I11" s="23" t="n">
        <x:f>'条件別統計'!M11</x:f>
        <x:v>27.8702046784</x:v>
      </x:c>
      <x:c r="J11" s="11" t="str">
        <x:f>IF(D11=MIN($D$4:$D$15),"最速",IF(D11&lt;=$D$4,"基準以上","基準未満"))</x:f>
        <x:v>基準未満</x:v>
      </x:c>
      <x:c r="W11" t="str">
        <x:f>A11</x:f>
        <x:v>w4_v64</x:v>
      </x:c>
      <x:c r="X11" t="n">
        <x:f>D11</x:f>
        <x:v>21.039</x:v>
      </x:c>
    </x:row>
    <x:row r="12" ht="15" hidden="0" customHeight="1">
      <x:c r="A12" s="11" t="str">
        <x:f>'条件別統計'!A12</x:f>
        <x:v>w4_v128</x:v>
      </x:c>
      <x:c r="B12" s="11" t="n">
        <x:f>'条件別統計'!B12</x:f>
        <x:v>4</x:v>
      </x:c>
      <x:c r="C12" s="11" t="n">
        <x:f>'条件別統計'!C12</x:f>
        <x:v>128</x:v>
      </x:c>
      <x:c r="D12" s="20" t="n">
        <x:f>'条件別統計'!E12</x:f>
        <x:v>22.921</x:v>
      </x:c>
      <x:c r="E12" s="20" t="n">
        <x:f>'条件別統計'!F12</x:f>
        <x:v>0.38851426400240857</x:v>
      </x:c>
      <x:c r="F12" s="21" t="n">
        <x:f>'条件別統計'!J12</x:f>
        <x:v>0.8852580602940536</x:v>
      </x:c>
      <x:c r="G12" s="22" t="n">
        <x:f>'条件別統計'!K12</x:f>
        <x:v>-0.1296141146321026</x:v>
      </x:c>
      <x:c r="H12" s="23" t="n">
        <x:f>'条件別統計'!L12</x:f>
        <x:v>68.18114718620002</x:v>
      </x:c>
      <x:c r="I12" s="23" t="n">
        <x:f>'条件別統計'!M12</x:f>
        <x:v>27.075887445899998</x:v>
      </x:c>
      <x:c r="J12" s="11" t="str">
        <x:f>IF(D12=MIN($D$4:$D$15),"最速",IF(D12&lt;=$D$4,"基準以上","基準未満"))</x:f>
        <x:v>基準未満</x:v>
      </x:c>
      <x:c r="W12" t="str">
        <x:f>A12</x:f>
        <x:v>w4_v128</x:v>
      </x:c>
      <x:c r="X12" t="n">
        <x:f>D12</x:f>
        <x:v>22.921</x:v>
      </x:c>
    </x:row>
    <x:row r="13" ht="15" hidden="0" customHeight="1">
      <x:c r="A13" s="11" t="str">
        <x:f>'条件別統計'!A13</x:f>
        <x:v>w8_v32</x:v>
      </x:c>
      <x:c r="B13" s="11" t="n">
        <x:f>'条件別統計'!B13</x:f>
        <x:v>8</x:v>
      </x:c>
      <x:c r="C13" s="11" t="n">
        <x:f>'条件別統計'!C13</x:f>
        <x:v>32</x:v>
      </x:c>
      <x:c r="D13" s="20" t="n">
        <x:f>'条件別統計'!E13</x:f>
        <x:v>20.886000000000003</x:v>
      </x:c>
      <x:c r="E13" s="20" t="n">
        <x:f>'条件別統計'!F13</x:f>
        <x:v>0.3975536302046419</x:v>
      </x:c>
      <x:c r="F13" s="21" t="n">
        <x:f>'条件別統計'!J13</x:f>
        <x:v>0.971512017619458</x:v>
      </x:c>
      <x:c r="G13" s="22" t="n">
        <x:f>'条件別統計'!K13</x:f>
        <x:v>-0.029323345325513728</x:v>
      </x:c>
      <x:c r="H13" s="23" t="n">
        <x:f>'条件別統計'!L13</x:f>
        <x:v>65.318625731</x:v>
      </x:c>
      <x:c r="I13" s="23" t="n">
        <x:f>'条件別統計'!M13</x:f>
        <x:v>28.169824561400002</x:v>
      </x:c>
      <x:c r="J13" s="11" t="str">
        <x:f>IF(D13=MIN($D$4:$D$15),"最速",IF(D13&lt;=$D$4,"基準以上","基準未満"))</x:f>
        <x:v>基準未満</x:v>
      </x:c>
      <x:c r="W13" t="str">
        <x:f>A13</x:f>
        <x:v>w8_v32</x:v>
      </x:c>
      <x:c r="X13" t="n">
        <x:f>D13</x:f>
        <x:v>20.886000000000003</x:v>
      </x:c>
    </x:row>
    <x:row r="14" ht="15" hidden="0" customHeight="1">
      <x:c r="A14" s="11" t="str">
        <x:f>'条件別統計'!A14</x:f>
        <x:v>w8_v64</x:v>
      </x:c>
      <x:c r="B14" s="11" t="n">
        <x:f>'条件別統計'!B14</x:f>
        <x:v>8</x:v>
      </x:c>
      <x:c r="C14" s="11" t="n">
        <x:f>'条件別統計'!C14</x:f>
        <x:v>64</x:v>
      </x:c>
      <x:c r="D14" s="20" t="n">
        <x:f>'条件別統計'!E14</x:f>
        <x:v>22.821999999999996</x:v>
      </x:c>
      <x:c r="E14" s="20" t="n">
        <x:f>'条件別統計'!F14</x:f>
        <x:v>0.34656408738740746</x:v>
      </x:c>
      <x:c r="F14" s="21" t="n">
        <x:f>'条件別統計'!J14</x:f>
        <x:v>0.8890982385417583</x:v>
      </x:c>
      <x:c r="G14" s="22" t="n">
        <x:f>'条件別統計'!K14</x:f>
        <x:v>-0.1247351042334035</x:v>
      </x:c>
      <x:c r="H14" s="23" t="n">
        <x:f>'条件別統計'!L14</x:f>
        <x:v>68.955177717</x:v>
      </x:c>
      <x:c r="I14" s="23" t="n">
        <x:f>'条件別統計'!M14</x:f>
        <x:v>27.2322863978</x:v>
      </x:c>
      <x:c r="J14" s="11" t="str">
        <x:f>IF(D14=MIN($D$4:$D$15),"最速",IF(D14&lt;=$D$4,"基準以上","基準未満"))</x:f>
        <x:v>基準未満</x:v>
      </x:c>
      <x:c r="W14" t="str">
        <x:f>A14</x:f>
        <x:v>w8_v64</x:v>
      </x:c>
      <x:c r="X14" t="n">
        <x:f>D14</x:f>
        <x:v>22.821999999999996</x:v>
      </x:c>
    </x:row>
    <x:row r="15" ht="15" hidden="0" customHeight="1">
      <x:c r="A15" s="11" t="str">
        <x:f>'条件別統計'!A15</x:f>
        <x:v>w8_v128</x:v>
      </x:c>
      <x:c r="B15" s="11" t="n">
        <x:f>'条件別統計'!B15</x:f>
        <x:v>8</x:v>
      </x:c>
      <x:c r="C15" s="11" t="n">
        <x:f>'条件別統計'!C15</x:f>
        <x:v>128</x:v>
      </x:c>
      <x:c r="D15" s="20" t="n">
        <x:f>'条件別統計'!E15</x:f>
        <x:v>29.487000000000002</x:v>
      </x:c>
      <x:c r="E15" s="20" t="n">
        <x:f>'条件別統計'!F15</x:f>
        <x:v>0.25953162941473384</x:v>
      </x:c>
      <x:c r="F15" s="21" t="n">
        <x:f>'条件別統計'!J15</x:f>
        <x:v>0.6881337538576323</x:v>
      </x:c>
      <x:c r="G15" s="22" t="n">
        <x:f>'条件別統計'!K15</x:f>
        <x:v>-0.4532058548124782</x:v>
      </x:c>
      <x:c r="H15" s="23" t="n">
        <x:f>'条件別統計'!L15</x:f>
        <x:v>75.1070835615</x:v>
      </x:c>
      <x:c r="I15" s="23" t="n">
        <x:f>'条件別統計'!M15</x:f>
        <x:v>27.088934501199997</x:v>
      </x:c>
      <x:c r="J15" s="11" t="str">
        <x:f>IF(D15=MIN($D$4:$D$15),"最速",IF(D15&lt;=$D$4,"基準以上","基準未満"))</x:f>
        <x:v>基準未満</x:v>
      </x:c>
      <x:c r="W15" t="str">
        <x:f>A15</x:f>
        <x:v>w8_v128</x:v>
      </x:c>
      <x:c r="X15" t="n">
        <x:f>D15</x:f>
        <x:v>29.487000000000002</x:v>
      </x:c>
    </x:row>
    <x:row r="16"/>
    <x:row r="17">
      <x:c r="A17" s="17" t="str">
        <x:v>結論：最短の平均Main時間は NUM_WORKERS=1、VECTOR_LENGTH=64 の20.238秒。ただし基準w1_v32（20.291秒）との差は約0.26%で、実行間ばらつきに対して小さい。ワーカー数とベクトル長を増やし過ぎると遅くなり、w8_v128は29.487秒（基準より約45.3%遅い）。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</x:sheetData>
  <x:mergeCells>
    <x:mergeCell ref="A1:J1"/>
    <x:mergeCell ref="A17:J19"/>
  </x:mergeCells>
  <x:conditionalFormatting sqref="A4:J15">
    <x:cfRule type="expression" dxfId="0" priority="1">
      <x:formula>$J4="最速"</x:formula>
    </x:cfRule>
    <x:cfRule type="expression" dxfId="1" priority="2">
      <x:formula>$J4="基準未満"</x:formula>
    </x:cfRule>
  </x:conditionalFormatting>
  <x:pageMargins left="0.7" right="0.7" top="0.75" bottom="0.75" header="0.3" footer="0.3"/>
  <x:drawing xmlns:r="http://schemas.openxmlformats.org/officeDocument/2006/relationships" r:id="R57db77d7cb64448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130001068115234" hidden="0" customWidth="1"/>
    <x:col min="2" max="2" width="13.130000114440918" hidden="0" customWidth="1"/>
    <x:col min="3" max="3" width="13.630000114440918" hidden="0" customWidth="1"/>
    <x:col min="4" max="4" width="6" hidden="0" customWidth="1"/>
    <x:col min="5" max="5" width="11.630000114440918" hidden="0" customWidth="1"/>
    <x:col min="6" max="6" width="10.380000114440918" hidden="0" customWidth="1"/>
    <x:col min="7" max="7" width="11.630000114440918" hidden="0" customWidth="1"/>
    <x:col min="8" max="8" width="15.25" hidden="0" customWidth="1"/>
    <x:col min="9" max="9" width="11.130000114440918" hidden="0" customWidth="1"/>
    <x:col min="10" max="10" width="6" hidden="0" customWidth="1"/>
    <x:col min="11" max="11" width="9.75" hidden="0" customWidth="1"/>
    <x:col min="12" max="12" width="15.130000114440918" hidden="0" customWidth="1"/>
    <x:col min="13" max="13" width="16.6299991607666" hidden="0" customWidth="1"/>
    <x:col min="14" max="14" width="7.880000114440918" hidden="0" customWidth="1"/>
  </x:cols>
  <x:sheetData>
    <x:row r="1">
      <x:c r="A1" s="4" t="str">
        <x:v>NVIDIA GB10 OpenACC カーネル設定 — 12条件×10回の統計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40" customHeight="1">
      <x:c r="A3" s="12" t="str">
        <x:v>設定</x:v>
      </x:c>
      <x:c r="B3" s="12" t="str">
        <x:v>NUM_WORKERS</x:v>
      </x:c>
      <x:c r="C3" s="12" t="str">
        <x:v>VECTOR_LENGTH</x:v>
      </x:c>
      <x:c r="D3" s="12" t="str">
        <x:v>実行数</x:v>
      </x:c>
      <x:c r="E3" s="12" t="str">
        <x:v>Main平均 [秒]</x:v>
      </x:c>
      <x:c r="F3" s="12" t="str">
        <x:v>Main SD [秒]</x:v>
      </x:c>
      <x:c r="G3" s="12" t="str">
        <x:v>Main最小 [秒]</x:v>
      </x:c>
      <x:c r="H3" s="12" t="str">
        <x:v>Trajectory平均 [秒]</x:v>
      </x:c>
      <x:c r="I3" s="12" t="str">
        <x:v>Wall平均 [秒]</x:v>
      </x:c>
      <x:c r="J3" s="12" t="str">
        <x:v>基準比</x:v>
      </x:c>
      <x:c r="K3" s="12" t="str">
        <x:v>時間短縮率</x:v>
      </x:c>
      <x:c r="L3" s="12" t="str">
        <x:v>稼働中SM平均 [%]</x:v>
      </x:c>
      <x:c r="M3" s="12" t="str">
        <x:v>稼働中電力平均 [W]</x:v>
      </x:c>
      <x:c r="N3" s="12" t="str">
        <x:v>正常終了</x:v>
      </x:c>
    </x:row>
    <x:row r="4">
      <x:c r="A4" s="13" t="str">
        <x:v>w1_v32</x:v>
      </x:c>
      <x:c r="B4" s="13" t="n">
        <x:v>1</x:v>
      </x:c>
      <x:c r="C4" s="13" t="n">
        <x:v>32</x:v>
      </x:c>
      <x:c r="D4" s="13" t="n">
        <x:v>10</x:v>
      </x:c>
      <x:c r="E4" s="24" t="n">
        <x:f>AVERAGE('120回生データ'!L2:L11)</x:f>
        <x:v>20.291000000000004</x:v>
      </x:c>
      <x:c r="F4" s="24" t="n">
        <x:f>STDEV.S('120回生データ'!L2:L11)</x:f>
        <x:v>0.26760044843011765</x:v>
      </x:c>
      <x:c r="G4" s="24" t="n">
        <x:f>MIN('120回生データ'!L2:L11)</x:f>
        <x:v>19.77</x:v>
      </x:c>
      <x:c r="H4" s="24" t="n">
        <x:f>AVERAGE('120回生データ'!J2:J11)</x:f>
        <x:v>19.851</x:v>
      </x:c>
      <x:c r="I4" s="24" t="n">
        <x:f>AVERAGE('120回生データ'!M2:M11)</x:f>
        <x:v>20.836</x:v>
      </x:c>
      <x:c r="J4" s="25" t="n">
        <x:f>$E$4/E4</x:f>
        <x:v>1</x:v>
      </x:c>
      <x:c r="K4" s="26" t="n">
        <x:f>1-E4/$E$4</x:f>
        <x:v>0</x:v>
      </x:c>
      <x:c r="L4" s="27" t="n">
        <x:f>AVERAGE('120回生データ'!V2:V11)</x:f>
        <x:v>63.7785982111</x:v>
      </x:c>
      <x:c r="M4" s="27" t="n">
        <x:f>AVERAGE('120回生データ'!X2:X11)</x:f>
        <x:v>27.6137151702</x:v>
      </x:c>
      <x:c r="N4" s="13" t="str">
        <x:f>COUNTIF('120回生データ'!I2:I11,0)&amp;"/10"</x:f>
        <x:v>10/10</x:v>
      </x:c>
    </x:row>
    <x:row r="5">
      <x:c r="A5" s="13" t="str">
        <x:v>w1_v64</x:v>
      </x:c>
      <x:c r="B5" s="13" t="n">
        <x:v>1</x:v>
      </x:c>
      <x:c r="C5" s="13" t="n">
        <x:v>64</x:v>
      </x:c>
      <x:c r="D5" s="13" t="n">
        <x:v>10</x:v>
      </x:c>
      <x:c r="E5" s="24" t="n">
        <x:f>AVERAGE('120回生データ'!L12:L21)</x:f>
        <x:v>20.238000000000003</x:v>
      </x:c>
      <x:c r="F5" s="24" t="n">
        <x:f>STDEV.S('120回生データ'!L12:L21)</x:f>
        <x:v>0.28479232199388144</x:v>
      </x:c>
      <x:c r="G5" s="24" t="n">
        <x:f>MIN('120回生データ'!L12:L21)</x:f>
        <x:v>19.82</x:v>
      </x:c>
      <x:c r="H5" s="24" t="n">
        <x:f>AVERAGE('120回生データ'!J12:J21)</x:f>
        <x:v>19.812</x:v>
      </x:c>
      <x:c r="I5" s="24" t="n">
        <x:f>AVERAGE('120回生データ'!M12:M21)</x:f>
        <x:v>20.778</x:v>
      </x:c>
      <x:c r="J5" s="25" t="n">
        <x:f>$E$4/E5</x:f>
        <x:v>1.0026188358533452</x:v>
      </x:c>
      <x:c r="K5" s="26" t="n">
        <x:f>1-E5/$E$4</x:f>
        <x:v>0.0026119954659701294</x:v>
      </x:c>
      <x:c r="L5" s="27" t="n">
        <x:f>AVERAGE('120回生データ'!V12:V21)</x:f>
        <x:v>63.504678362599996</x:v>
      </x:c>
      <x:c r="M5" s="27" t="n">
        <x:f>AVERAGE('120回生データ'!X12:X21)</x:f>
        <x:v>28.030409356699998</x:v>
      </x:c>
      <x:c r="N5" s="13" t="str">
        <x:f>COUNTIF('120回生データ'!I12:I21,0)&amp;"/10"</x:f>
        <x:v>10/10</x:v>
      </x:c>
    </x:row>
    <x:row r="6">
      <x:c r="A6" s="13" t="str">
        <x:v>w1_v128</x:v>
      </x:c>
      <x:c r="B6" s="13" t="n">
        <x:v>1</x:v>
      </x:c>
      <x:c r="C6" s="13" t="n">
        <x:v>128</x:v>
      </x:c>
      <x:c r="D6" s="13" t="n">
        <x:v>10</x:v>
      </x:c>
      <x:c r="E6" s="24" t="n">
        <x:f>AVERAGE('120回生データ'!L22:L31)</x:f>
        <x:v>20.459</x:v>
      </x:c>
      <x:c r="F6" s="24" t="n">
        <x:f>STDEV.S('120回生データ'!L22:L31)</x:f>
        <x:v>0.35482233425883525</x:v>
      </x:c>
      <x:c r="G6" s="24" t="n">
        <x:f>MIN('120回生データ'!L22:L31)</x:f>
        <x:v>19.92</x:v>
      </x:c>
      <x:c r="H6" s="24" t="n">
        <x:f>AVERAGE('120回生データ'!J22:J31)</x:f>
        <x:v>20.029</x:v>
      </x:c>
      <x:c r="I6" s="24" t="n">
        <x:f>AVERAGE('120回生データ'!M22:M31)</x:f>
        <x:v>20.994999999999997</x:v>
      </x:c>
      <x:c r="J6" s="25" t="n">
        <x:f>$E$4/E6</x:f>
        <x:v>0.991788454958698</x:v>
      </x:c>
      <x:c r="K6" s="26" t="n">
        <x:f>1-E6/$E$4</x:f>
        <x:v>-0.008279532797791811</x:v>
      </x:c>
      <x:c r="L6" s="27" t="n">
        <x:f>AVERAGE('120回生データ'!V22:V31)</x:f>
        <x:v>63.766052631499996</x:v>
      </x:c>
      <x:c r="M6" s="27" t="n">
        <x:f>AVERAGE('120回生データ'!X22:X31)</x:f>
        <x:v>28.1218128654</x:v>
      </x:c>
      <x:c r="N6" s="13" t="str">
        <x:f>COUNTIF('120回生データ'!I22:I31,0)&amp;"/10"</x:f>
        <x:v>10/10</x:v>
      </x:c>
    </x:row>
    <x:row r="7">
      <x:c r="A7" s="13" t="str">
        <x:v>w2_v32</x:v>
      </x:c>
      <x:c r="B7" s="13" t="n">
        <x:v>2</x:v>
      </x:c>
      <x:c r="C7" s="13" t="n">
        <x:v>32</x:v>
      </x:c>
      <x:c r="D7" s="13" t="n">
        <x:v>10</x:v>
      </x:c>
      <x:c r="E7" s="24" t="n">
        <x:f>AVERAGE('120回生データ'!L32:L41)</x:f>
        <x:v>20.370000000000005</x:v>
      </x:c>
      <x:c r="F7" s="24" t="n">
        <x:f>STDEV.S('120回生データ'!L32:L41)</x:f>
        <x:v>0.16579773487261149</x:v>
      </x:c>
      <x:c r="G7" s="24" t="n">
        <x:f>MIN('120回生データ'!L32:L41)</x:f>
        <x:v>20.17</x:v>
      </x:c>
      <x:c r="H7" s="24" t="n">
        <x:f>AVERAGE('120回生データ'!J32:J41)</x:f>
        <x:v>19.938</x:v>
      </x:c>
      <x:c r="I7" s="24" t="n">
        <x:f>AVERAGE('120回生データ'!M32:M41)</x:f>
        <x:v>20.901</x:v>
      </x:c>
      <x:c r="J7" s="25" t="n">
        <x:f>$E$4/E7</x:f>
        <x:v>0.9961217476681394</x:v>
      </x:c>
      <x:c r="K7" s="26" t="n">
        <x:f>1-E7/$E$4</x:f>
        <x:v>-0.003893351732295214</x:v>
      </x:c>
      <x:c r="L7" s="27" t="n">
        <x:f>AVERAGE('120回生データ'!V32:V41)</x:f>
        <x:v>63.362573099500004</x:v>
      </x:c>
      <x:c r="M7" s="27" t="n">
        <x:f>AVERAGE('120回生データ'!X32:X41)</x:f>
        <x:v>28.3874269006</x:v>
      </x:c>
      <x:c r="N7" s="13" t="str">
        <x:f>COUNTIF('120回生データ'!I32:I41,0)&amp;"/10"</x:f>
        <x:v>10/10</x:v>
      </x:c>
    </x:row>
    <x:row r="8">
      <x:c r="A8" s="13" t="str">
        <x:v>w2_v64</x:v>
      </x:c>
      <x:c r="B8" s="13" t="n">
        <x:v>2</x:v>
      </x:c>
      <x:c r="C8" s="13" t="n">
        <x:v>64</x:v>
      </x:c>
      <x:c r="D8" s="13" t="n">
        <x:v>10</x:v>
      </x:c>
      <x:c r="E8" s="24" t="n">
        <x:f>AVERAGE('120回生データ'!L42:L51)</x:f>
        <x:v>20.577</x:v>
      </x:c>
      <x:c r="F8" s="24" t="n">
        <x:f>STDEV.S('120回生データ'!L42:L51)</x:f>
        <x:v>0.302289412465751</x:v>
      </x:c>
      <x:c r="G8" s="24" t="n">
        <x:f>MIN('120回生データ'!L42:L51)</x:f>
        <x:v>19.91</x:v>
      </x:c>
      <x:c r="H8" s="24" t="n">
        <x:f>AVERAGE('120回生データ'!J42:J51)</x:f>
        <x:v>20.147</x:v>
      </x:c>
      <x:c r="I8" s="24" t="n">
        <x:f>AVERAGE('120回生データ'!M42:M51)</x:f>
        <x:v>21.111</x:v>
      </x:c>
      <x:c r="J8" s="25" t="n">
        <x:f>$E$4/E8</x:f>
        <x:v>0.9861009865383682</x:v>
      </x:c>
      <x:c r="K8" s="26" t="n">
        <x:f>1-E8/$E$4</x:f>
        <x:v>-0.014094918929574485</x:v>
      </x:c>
      <x:c r="L8" s="27" t="n">
        <x:f>AVERAGE('120回生データ'!V42:V51)</x:f>
        <x:v>65.6328070175</x:v>
      </x:c>
      <x:c r="M8" s="27" t="n">
        <x:f>AVERAGE('120回生データ'!X42:X51)</x:f>
        <x:v>28.1914035086</x:v>
      </x:c>
      <x:c r="N8" s="13" t="str">
        <x:f>COUNTIF('120回生データ'!I42:I51,0)&amp;"/10"</x:f>
        <x:v>10/10</x:v>
      </x:c>
    </x:row>
    <x:row r="9">
      <x:c r="A9" s="13" t="str">
        <x:v>w2_v128</x:v>
      </x:c>
      <x:c r="B9" s="13" t="n">
        <x:v>2</x:v>
      </x:c>
      <x:c r="C9" s="13" t="n">
        <x:v>128</x:v>
      </x:c>
      <x:c r="D9" s="13" t="n">
        <x:v>10</x:v>
      </x:c>
      <x:c r="E9" s="24" t="n">
        <x:f>AVERAGE('120回生データ'!L52:L61)</x:f>
        <x:v>21.077</x:v>
      </x:c>
      <x:c r="F9" s="24" t="n">
        <x:f>STDEV.S('120回生データ'!L52:L61)</x:f>
        <x:v>0.2065618013519869</x:v>
      </x:c>
      <x:c r="G9" s="24" t="n">
        <x:f>MIN('120回生データ'!L52:L61)</x:f>
        <x:v>20.55</x:v>
      </x:c>
      <x:c r="H9" s="24" t="n">
        <x:f>AVERAGE('120回生データ'!J52:J61)</x:f>
        <x:v>20.651</x:v>
      </x:c>
      <x:c r="I9" s="24" t="n">
        <x:f>AVERAGE('120回生データ'!M52:M61)</x:f>
        <x:v>21.6</x:v>
      </x:c>
      <x:c r="J9" s="25" t="n">
        <x:f>$E$4/E9</x:f>
        <x:v>0.9627081652986669</x:v>
      </x:c>
      <x:c r="K9" s="26" t="n">
        <x:f>1-E9/$E$4</x:f>
        <x:v>-0.038736385589670075</x:v>
      </x:c>
      <x:c r="L9" s="27" t="n">
        <x:f>AVERAGE('120回生データ'!V52:V61)</x:f>
        <x:v>66.8371001033</x:v>
      </x:c>
      <x:c r="M9" s="27" t="n">
        <x:f>AVERAGE('120回生データ'!X52:X61)</x:f>
        <x:v>27.940686274500003</x:v>
      </x:c>
      <x:c r="N9" s="13" t="str">
        <x:f>COUNTIF('120回生データ'!I52:I61,0)&amp;"/10"</x:f>
        <x:v>10/10</x:v>
      </x:c>
    </x:row>
    <x:row r="10">
      <x:c r="A10" s="13" t="str">
        <x:v>w4_v32</x:v>
      </x:c>
      <x:c r="B10" s="13" t="n">
        <x:v>4</x:v>
      </x:c>
      <x:c r="C10" s="13" t="n">
        <x:v>32</x:v>
      </x:c>
      <x:c r="D10" s="13" t="n">
        <x:v>10</x:v>
      </x:c>
      <x:c r="E10" s="24" t="n">
        <x:f>AVERAGE('120回生データ'!L62:L71)</x:f>
        <x:v>20.466</x:v>
      </x:c>
      <x:c r="F10" s="24" t="n">
        <x:f>STDEV.S('120回生データ'!L62:L71)</x:f>
        <x:v>0.3675202186426097</x:v>
      </x:c>
      <x:c r="G10" s="24" t="n">
        <x:f>MIN('120回生データ'!L62:L71)</x:f>
        <x:v>19.95</x:v>
      </x:c>
      <x:c r="H10" s="24" t="n">
        <x:f>AVERAGE('120回生データ'!J62:J71)</x:f>
        <x:v>20.025</x:v>
      </x:c>
      <x:c r="I10" s="24" t="n">
        <x:f>AVERAGE('120回生データ'!M62:M71)</x:f>
        <x:v>21.021</x:v>
      </x:c>
      <x:c r="J10" s="25" t="n">
        <x:f>$E$4/E10</x:f>
        <x:v>0.9914492328740351</x:v>
      </x:c>
      <x:c r="K10" s="26" t="n">
        <x:f>1-E10/$E$4</x:f>
        <x:v>-0.008624513331033423</x:v>
      </x:c>
      <x:c r="L10" s="27" t="n">
        <x:f>AVERAGE('120回生データ'!V62:V71)</x:f>
        <x:v>63.18187134500001</x:v>
      </x:c>
      <x:c r="M10" s="27" t="n">
        <x:f>AVERAGE('120回生データ'!X62:X71)</x:f>
        <x:v>28.3239473682</x:v>
      </x:c>
      <x:c r="N10" s="13" t="str">
        <x:f>COUNTIF('120回生データ'!I62:I71,0)&amp;"/10"</x:f>
        <x:v>10/10</x:v>
      </x:c>
    </x:row>
    <x:row r="11">
      <x:c r="A11" s="13" t="str">
        <x:v>w4_v64</x:v>
      </x:c>
      <x:c r="B11" s="13" t="n">
        <x:v>4</x:v>
      </x:c>
      <x:c r="C11" s="13" t="n">
        <x:v>64</x:v>
      </x:c>
      <x:c r="D11" s="13" t="n">
        <x:v>10</x:v>
      </x:c>
      <x:c r="E11" s="24" t="n">
        <x:f>AVERAGE('120回生データ'!L72:L81)</x:f>
        <x:v>21.039</x:v>
      </x:c>
      <x:c r="F11" s="24" t="n">
        <x:f>STDEV.S('120回生データ'!L72:L81)</x:f>
        <x:v>0.2769456424804129</x:v>
      </x:c>
      <x:c r="G11" s="24" t="n">
        <x:f>MIN('120回生データ'!L72:L81)</x:f>
        <x:v>20.6</x:v>
      </x:c>
      <x:c r="H11" s="24" t="n">
        <x:f>AVERAGE('120回生データ'!J72:J81)</x:f>
        <x:v>20.590999999999998</x:v>
      </x:c>
      <x:c r="I11" s="24" t="n">
        <x:f>AVERAGE('120回生データ'!M72:M81)</x:f>
        <x:v>21.583999999999996</x:v>
      </x:c>
      <x:c r="J11" s="25" t="n">
        <x:f>$E$4/E11</x:f>
        <x:v>0.964446979419174</x:v>
      </x:c>
      <x:c r="K11" s="26" t="n">
        <x:f>1-E11/$E$4</x:f>
        <x:v>-0.03686363412350291</x:v>
      </x:c>
      <x:c r="L11" s="27" t="n">
        <x:f>AVERAGE('120回生データ'!V72:V81)</x:f>
        <x:v>64.11543859650001</x:v>
      </x:c>
      <x:c r="M11" s="27" t="n">
        <x:f>AVERAGE('120回生データ'!X72:X81)</x:f>
        <x:v>27.8702046784</x:v>
      </x:c>
      <x:c r="N11" s="13" t="str">
        <x:f>COUNTIF('120回生データ'!I72:I81,0)&amp;"/10"</x:f>
        <x:v>10/10</x:v>
      </x:c>
    </x:row>
    <x:row r="12">
      <x:c r="A12" s="13" t="str">
        <x:v>w4_v128</x:v>
      </x:c>
      <x:c r="B12" s="13" t="n">
        <x:v>4</x:v>
      </x:c>
      <x:c r="C12" s="13" t="n">
        <x:v>128</x:v>
      </x:c>
      <x:c r="D12" s="13" t="n">
        <x:v>10</x:v>
      </x:c>
      <x:c r="E12" s="24" t="n">
        <x:f>AVERAGE('120回生データ'!L82:L91)</x:f>
        <x:v>22.921</x:v>
      </x:c>
      <x:c r="F12" s="24" t="n">
        <x:f>STDEV.S('120回生データ'!L82:L91)</x:f>
        <x:v>0.38851426400240857</x:v>
      </x:c>
      <x:c r="G12" s="24" t="n">
        <x:f>MIN('120回生データ'!L82:L91)</x:f>
        <x:v>22.32</x:v>
      </x:c>
      <x:c r="H12" s="24" t="n">
        <x:f>AVERAGE('120回生データ'!J82:J91)</x:f>
        <x:v>22.474</x:v>
      </x:c>
      <x:c r="I12" s="24" t="n">
        <x:f>AVERAGE('120回生データ'!M82:M91)</x:f>
        <x:v>23.449</x:v>
      </x:c>
      <x:c r="J12" s="25" t="n">
        <x:f>$E$4/E12</x:f>
        <x:v>0.8852580602940536</x:v>
      </x:c>
      <x:c r="K12" s="26" t="n">
        <x:f>1-E12/$E$4</x:f>
        <x:v>-0.1296141146321026</x:v>
      </x:c>
      <x:c r="L12" s="27" t="n">
        <x:f>AVERAGE('120回生データ'!V82:V91)</x:f>
        <x:v>68.18114718620002</x:v>
      </x:c>
      <x:c r="M12" s="27" t="n">
        <x:f>AVERAGE('120回生データ'!X82:X91)</x:f>
        <x:v>27.075887445899998</x:v>
      </x:c>
      <x:c r="N12" s="13" t="str">
        <x:f>COUNTIF('120回生データ'!I82:I91,0)&amp;"/10"</x:f>
        <x:v>10/10</x:v>
      </x:c>
    </x:row>
    <x:row r="13">
      <x:c r="A13" s="13" t="str">
        <x:v>w8_v32</x:v>
      </x:c>
      <x:c r="B13" s="13" t="n">
        <x:v>8</x:v>
      </x:c>
      <x:c r="C13" s="13" t="n">
        <x:v>32</x:v>
      </x:c>
      <x:c r="D13" s="13" t="n">
        <x:v>10</x:v>
      </x:c>
      <x:c r="E13" s="24" t="n">
        <x:f>AVERAGE('120回生データ'!L92:L101)</x:f>
        <x:v>20.886000000000003</x:v>
      </x:c>
      <x:c r="F13" s="24" t="n">
        <x:f>STDEV.S('120回生データ'!L92:L101)</x:f>
        <x:v>0.3975536302046419</x:v>
      </x:c>
      <x:c r="G13" s="24" t="n">
        <x:f>MIN('120回生データ'!L92:L101)</x:f>
        <x:v>20.33</x:v>
      </x:c>
      <x:c r="H13" s="24" t="n">
        <x:f>AVERAGE('120回生データ'!J92:J101)</x:f>
        <x:v>20.445</x:v>
      </x:c>
      <x:c r="I13" s="24" t="n">
        <x:f>AVERAGE('120回生データ'!M92:M101)</x:f>
        <x:v>21.404</x:v>
      </x:c>
      <x:c r="J13" s="25" t="n">
        <x:f>$E$4/E13</x:f>
        <x:v>0.971512017619458</x:v>
      </x:c>
      <x:c r="K13" s="26" t="n">
        <x:f>1-E13/$E$4</x:f>
        <x:v>-0.029323345325513728</x:v>
      </x:c>
      <x:c r="L13" s="27" t="n">
        <x:f>AVERAGE('120回生データ'!V92:V101)</x:f>
        <x:v>65.318625731</x:v>
      </x:c>
      <x:c r="M13" s="27" t="n">
        <x:f>AVERAGE('120回生データ'!X92:X101)</x:f>
        <x:v>28.169824561400002</x:v>
      </x:c>
      <x:c r="N13" s="13" t="str">
        <x:f>COUNTIF('120回生データ'!I92:I101,0)&amp;"/10"</x:f>
        <x:v>10/10</x:v>
      </x:c>
    </x:row>
    <x:row r="14">
      <x:c r="A14" s="13" t="str">
        <x:v>w8_v64</x:v>
      </x:c>
      <x:c r="B14" s="13" t="n">
        <x:v>8</x:v>
      </x:c>
      <x:c r="C14" s="13" t="n">
        <x:v>64</x:v>
      </x:c>
      <x:c r="D14" s="13" t="n">
        <x:v>10</x:v>
      </x:c>
      <x:c r="E14" s="24" t="n">
        <x:f>AVERAGE('120回生データ'!L102:L111)</x:f>
        <x:v>22.821999999999996</x:v>
      </x:c>
      <x:c r="F14" s="24" t="n">
        <x:f>STDEV.S('120回生データ'!L102:L111)</x:f>
        <x:v>0.34656408738740746</x:v>
      </x:c>
      <x:c r="G14" s="24" t="n">
        <x:f>MIN('120回生データ'!L102:L111)</x:f>
        <x:v>22.3</x:v>
      </x:c>
      <x:c r="H14" s="24" t="n">
        <x:f>AVERAGE('120回生データ'!J102:J111)</x:f>
        <x:v>22.374</x:v>
      </x:c>
      <x:c r="I14" s="24" t="n">
        <x:f>AVERAGE('120回生データ'!M102:M111)</x:f>
        <x:v>23.35</x:v>
      </x:c>
      <x:c r="J14" s="25" t="n">
        <x:f>$E$4/E14</x:f>
        <x:v>0.8890982385417583</x:v>
      </x:c>
      <x:c r="K14" s="26" t="n">
        <x:f>1-E14/$E$4</x:f>
        <x:v>-0.1247351042334035</x:v>
      </x:c>
      <x:c r="L14" s="27" t="n">
        <x:f>AVERAGE('120回生データ'!V102:V111)</x:f>
        <x:v>68.955177717</x:v>
      </x:c>
      <x:c r="M14" s="27" t="n">
        <x:f>AVERAGE('120回生データ'!X102:X111)</x:f>
        <x:v>27.2322863978</x:v>
      </x:c>
      <x:c r="N14" s="13" t="str">
        <x:f>COUNTIF('120回生データ'!I102:I111,0)&amp;"/10"</x:f>
        <x:v>10/10</x:v>
      </x:c>
    </x:row>
    <x:row r="15">
      <x:c r="A15" s="13" t="str">
        <x:v>w8_v128</x:v>
      </x:c>
      <x:c r="B15" s="13" t="n">
        <x:v>8</x:v>
      </x:c>
      <x:c r="C15" s="13" t="n">
        <x:v>128</x:v>
      </x:c>
      <x:c r="D15" s="13" t="n">
        <x:v>10</x:v>
      </x:c>
      <x:c r="E15" s="24" t="n">
        <x:f>AVERAGE('120回生データ'!L112:L121)</x:f>
        <x:v>29.487000000000002</x:v>
      </x:c>
      <x:c r="F15" s="24" t="n">
        <x:f>STDEV.S('120回生データ'!L112:L121)</x:f>
        <x:v>0.25953162941473384</x:v>
      </x:c>
      <x:c r="G15" s="24" t="n">
        <x:f>MIN('120回生データ'!L112:L121)</x:f>
        <x:v>29.14</x:v>
      </x:c>
      <x:c r="H15" s="24" t="n">
        <x:f>AVERAGE('120回生データ'!J112:J121)</x:f>
        <x:v>29.020999999999997</x:v>
      </x:c>
      <x:c r="I15" s="24" t="n">
        <x:f>AVERAGE('120回生データ'!M112:M121)</x:f>
        <x:v>29.998999999999995</x:v>
      </x:c>
      <x:c r="J15" s="25" t="n">
        <x:f>$E$4/E15</x:f>
        <x:v>0.6881337538576323</x:v>
      </x:c>
      <x:c r="K15" s="26" t="n">
        <x:f>1-E15/$E$4</x:f>
        <x:v>-0.4532058548124782</x:v>
      </x:c>
      <x:c r="L15" s="27" t="n">
        <x:f>AVERAGE('120回生データ'!V112:V121)</x:f>
        <x:v>75.1070835615</x:v>
      </x:c>
      <x:c r="M15" s="27" t="n">
        <x:f>AVERAGE('120回生データ'!X112:X121)</x:f>
        <x:v>27.088934501199997</x:v>
      </x:c>
      <x:c r="N15" s="13" t="str">
        <x:f>COUNTIF('120回生データ'!I112:I121,0)&amp;"/10"</x:f>
        <x:v>10/10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11" hidden="0" customWidth="1"/>
    <x:col min="3" max="3" width="11.130000114440918" hidden="0" customWidth="1"/>
    <x:col min="4" max="4" width="3.130000114440918" hidden="0" customWidth="1"/>
    <x:col min="5" max="5" width="7.880000114440918" hidden="0" customWidth="1"/>
    <x:col min="6" max="6" width="8.5" hidden="0" customWidth="1"/>
    <x:col min="7" max="7" width="25.3799991607666" hidden="0" customWidth="1"/>
    <x:col min="8" max="8" width="10.380000114440918" hidden="0" customWidth="1"/>
    <x:col min="9" max="9" width="8" hidden="0" customWidth="1"/>
    <x:col min="10" max="10" width="11.380000114440918" hidden="0" customWidth="1"/>
    <x:col min="11" max="11" width="9.25" hidden="0" customWidth="1"/>
    <x:col min="12" max="12" width="7.75" hidden="0" customWidth="1"/>
    <x:col min="13" max="13" width="7" hidden="0" customWidth="1"/>
    <x:col min="14" max="14" width="9.630000114440918" hidden="0" customWidth="1"/>
    <x:col min="15" max="15" width="10.380000114440918" hidden="0" customWidth="1"/>
    <x:col min="16" max="16" width="10.380000114440918" hidden="0" customWidth="1"/>
    <x:col min="17" max="17" width="9.380000114440918" hidden="0" customWidth="1"/>
    <x:col min="18" max="18" width="7.5" hidden="0" customWidth="1"/>
    <x:col min="19" max="19" width="10.5" hidden="0" customWidth="1"/>
    <x:col min="20" max="20" width="12.25" hidden="0" customWidth="1"/>
    <x:col min="21" max="21" width="12.25" hidden="0" customWidth="1"/>
    <x:col min="22" max="22" width="15" hidden="0" customWidth="1"/>
    <x:col min="23" max="23" width="10.25" hidden="0" customWidth="1"/>
    <x:col min="24" max="24" width="16.6299991607666" hidden="0" customWidth="1"/>
    <x:col min="25" max="25" width="11.880000114440918" hidden="0" customWidth="1"/>
  </x:cols>
  <x:sheetData>
    <x:row r="1">
      <x:c r="A1" s="9" t="str">
        <x:v>variant</x:v>
      </x:c>
      <x:c r="B1" s="9" t="str">
        <x:v>num_workers</x:v>
      </x:c>
      <x:c r="C1" s="9" t="str">
        <x:v>vector_length</x:v>
      </x:c>
      <x:c r="D1" s="9" t="str">
        <x:v>run</x:v>
      </x:c>
      <x:c r="E1" s="9" t="str">
        <x:v>array_job</x:v>
      </x:c>
      <x:c r="F1" s="9" t="str">
        <x:v>array_task</x:v>
      </x:c>
      <x:c r="G1" s="9" t="str">
        <x:v>node</x:v>
      </x:c>
      <x:c r="H1" s="9" t="str">
        <x:v>gpu</x:v>
      </x:c>
      <x:c r="I1" s="9" t="str">
        <x:v>exit_code</x:v>
      </x:c>
      <x:c r="J1" s="9" t="str">
        <x:v>trajectory_sec</x:v>
      </x:c>
      <x:c r="K1" s="9" t="str">
        <x:v>update_sec</x:v>
      </x:c>
      <x:c r="L1" s="9" t="str">
        <x:v>main_sec</x:v>
      </x:c>
      <x:c r="M1" s="9" t="str">
        <x:v>wall_sec</x:v>
      </x:c>
      <x:c r="N1" s="9" t="str">
        <x:v>max_rss_kb</x:v>
      </x:c>
      <x:c r="O1" s="9" t="str">
        <x:v>plaq_init</x:v>
      </x:c>
      <x:c r="P1" s="9" t="str">
        <x:v>plaq_final</x:v>
      </x:c>
      <x:c r="Q1" s="9" t="str">
        <x:v>h_diff</x:v>
      </x:c>
      <x:c r="R1" s="9" t="str">
        <x:v>decision</x:v>
      </x:c>
      <x:c r="S1" s="9" t="str">
        <x:v>gpu_samples</x:v>
      </x:c>
      <x:c r="T1" s="9" t="str">
        <x:v>active_samples</x:v>
      </x:c>
      <x:c r="U1" s="9" t="str">
        <x:v>sm_avg_all_pct</x:v>
      </x:c>
      <x:c r="V1" s="9" t="str">
        <x:v>sm_avg_active_pct</x:v>
      </x:c>
      <x:c r="W1" s="9" t="str">
        <x:v>sm_max_pct</x:v>
      </x:c>
      <x:c r="X1" s="9" t="str">
        <x:v>power_avg_active_w</x:v>
      </x:c>
      <x:c r="Y1" s="9" t="str">
        <x:v>power_max_w</x:v>
      </x:c>
    </x:row>
    <x:row r="2">
      <x:c r="A2" t="str">
        <x:v>w1_v32</x:v>
      </x:c>
      <x:c r="B2" t="n">
        <x:v>1</x:v>
      </x:c>
      <x:c r="C2" t="n">
        <x:v>32</x:v>
      </x:c>
      <x:c r="D2" t="n">
        <x:v>1</x:v>
      </x:c>
      <x:c r="E2" t="n">
        <x:v>373138</x:v>
      </x:c>
      <x:c r="F2" t="n">
        <x:v>0</x:v>
      </x:c>
      <x:c r="G2" t="str">
        <x:v>ng-dgx-m0-08.cloud.r-ccs.riken.jp</x:v>
      </x:c>
      <x:c r="H2" t="str">
        <x:v>NVIDIA GB10</x:v>
      </x:c>
      <x:c r="I2" t="n">
        <x:v>0</x:v>
      </x:c>
      <x:c r="J2" t="n">
        <x:v>19.88</x:v>
      </x:c>
      <x:c r="K2" t="n">
        <x:v>19.89</x:v>
      </x:c>
      <x:c r="L2" t="n">
        <x:v>20.31</x:v>
      </x:c>
      <x:c r="M2" t="n">
        <x:v>20.88</x:v>
      </x:c>
      <x:c r="N2" t="n">
        <x:v>376948</x:v>
      </x:c>
      <x:c r="O2" t="n">
        <x:v>0.625129946975</x:v>
      </x:c>
      <x:c r="P2" t="n">
        <x:v>0.622916188574</x:v>
      </x:c>
      <x:c r="Q2" t="n">
        <x:v>0.00083995</x:v>
      </x:c>
      <x:c r="R2" t="str">
        <x:v>Accepted</x:v>
      </x:c>
      <x:c r="S2" t="n">
        <x:v>21</x:v>
      </x:c>
      <x:c r="T2" t="n">
        <x:v>19</x:v>
      </x:c>
      <x:c r="U2" t="n">
        <x:v>56.095238095</x:v>
      </x:c>
      <x:c r="V2" t="n">
        <x:v>62</x:v>
      </x:c>
      <x:c r="W2" t="n">
        <x:v>81</x:v>
      </x:c>
      <x:c r="X2" t="n">
        <x:v>26.684210526</x:v>
      </x:c>
      <x:c r="Y2" t="n">
        <x:v>30</x:v>
      </x:c>
    </x:row>
    <x:row r="3">
      <x:c r="A3" t="str">
        <x:v>w1_v32</x:v>
      </x:c>
      <x:c r="B3" t="n">
        <x:v>1</x:v>
      </x:c>
      <x:c r="C3" t="n">
        <x:v>32</x:v>
      </x:c>
      <x:c r="D3" t="n">
        <x:v>2</x:v>
      </x:c>
      <x:c r="E3" t="n">
        <x:v>373138</x:v>
      </x:c>
      <x:c r="F3" t="n">
        <x:v>1</x:v>
      </x:c>
      <x:c r="G3" t="str">
        <x:v>ng-dgx-m0-09.cloud.r-ccs.riken.jp</x:v>
      </x:c>
      <x:c r="H3" t="str">
        <x:v>NVIDIA GB10</x:v>
      </x:c>
      <x:c r="I3" t="n">
        <x:v>0</x:v>
      </x:c>
      <x:c r="J3" t="n">
        <x:v>19.62</x:v>
      </x:c>
      <x:c r="K3" t="n">
        <x:v>19.63</x:v>
      </x:c>
      <x:c r="L3" t="n">
        <x:v>20.05</x:v>
      </x:c>
      <x:c r="M3" t="n">
        <x:v>20.63</x:v>
      </x:c>
      <x:c r="N3" t="n">
        <x:v>376288</x:v>
      </x:c>
      <x:c r="O3" t="n">
        <x:v>0.625129946975</x:v>
      </x:c>
      <x:c r="P3" t="n">
        <x:v>0.622916188574</x:v>
      </x:c>
      <x:c r="Q3" t="n">
        <x:v>0.00083995</x:v>
      </x:c>
      <x:c r="R3" t="str">
        <x:v>Accepted</x:v>
      </x:c>
      <x:c r="S3" t="n">
        <x:v>21</x:v>
      </x:c>
      <x:c r="T3" t="n">
        <x:v>19</x:v>
      </x:c>
      <x:c r="U3" t="n">
        <x:v>58.428571429</x:v>
      </x:c>
      <x:c r="V3" t="n">
        <x:v>64.578947368</x:v>
      </x:c>
      <x:c r="W3" t="n">
        <x:v>80</x:v>
      </x:c>
      <x:c r="X3" t="n">
        <x:v>27.421052632</x:v>
      </x:c>
      <x:c r="Y3" t="n">
        <x:v>31</x:v>
      </x:c>
    </x:row>
    <x:row r="4">
      <x:c r="A4" t="str">
        <x:v>w1_v32</x:v>
      </x:c>
      <x:c r="B4" t="n">
        <x:v>1</x:v>
      </x:c>
      <x:c r="C4" t="n">
        <x:v>32</x:v>
      </x:c>
      <x:c r="D4" t="n">
        <x:v>3</x:v>
      </x:c>
      <x:c r="E4" t="n">
        <x:v>373138</x:v>
      </x:c>
      <x:c r="F4" t="n">
        <x:v>2</x:v>
      </x:c>
      <x:c r="G4" t="str">
        <x:v>ng-dgx-m0-08.cloud.r-ccs.riken.jp</x:v>
      </x:c>
      <x:c r="H4" t="str">
        <x:v>NVIDIA GB10</x:v>
      </x:c>
      <x:c r="I4" t="n">
        <x:v>0</x:v>
      </x:c>
      <x:c r="J4" t="n">
        <x:v>19.9</x:v>
      </x:c>
      <x:c r="K4" t="n">
        <x:v>19.91</x:v>
      </x:c>
      <x:c r="L4" t="n">
        <x:v>20.35</x:v>
      </x:c>
      <x:c r="M4" t="n">
        <x:v>20.89</x:v>
      </x:c>
      <x:c r="N4" t="n">
        <x:v>376756</x:v>
      </x:c>
      <x:c r="O4" t="n">
        <x:v>0.625129946975</x:v>
      </x:c>
      <x:c r="P4" t="n">
        <x:v>0.622916188574</x:v>
      </x:c>
      <x:c r="Q4" t="n">
        <x:v>0.00083995</x:v>
      </x:c>
      <x:c r="R4" t="str">
        <x:v>Accepted</x:v>
      </x:c>
      <x:c r="S4" t="n">
        <x:v>21</x:v>
      </x:c>
      <x:c r="T4" t="n">
        <x:v>19</x:v>
      </x:c>
      <x:c r="U4" t="n">
        <x:v>56.142857143</x:v>
      </x:c>
      <x:c r="V4" t="n">
        <x:v>62.052631579</x:v>
      </x:c>
      <x:c r="W4" t="n">
        <x:v>81</x:v>
      </x:c>
      <x:c r="X4" t="n">
        <x:v>27.052631579</x:v>
      </x:c>
      <x:c r="Y4" t="n">
        <x:v>30</x:v>
      </x:c>
    </x:row>
    <x:row r="5">
      <x:c r="A5" t="str">
        <x:v>w1_v32</x:v>
      </x:c>
      <x:c r="B5" t="n">
        <x:v>1</x:v>
      </x:c>
      <x:c r="C5" t="n">
        <x:v>32</x:v>
      </x:c>
      <x:c r="D5" t="n">
        <x:v>4</x:v>
      </x:c>
      <x:c r="E5" t="n">
        <x:v>373138</x:v>
      </x:c>
      <x:c r="F5" t="n">
        <x:v>3</x:v>
      </x:c>
      <x:c r="G5" t="str">
        <x:v>ng-dgx-m0-09.cloud.r-ccs.riken.jp</x:v>
      </x:c>
      <x:c r="H5" t="str">
        <x:v>NVIDIA GB10</x:v>
      </x:c>
      <x:c r="I5" t="n">
        <x:v>0</x:v>
      </x:c>
      <x:c r="J5" t="n">
        <x:v>19.98</x:v>
      </x:c>
      <x:c r="K5" t="n">
        <x:v>19.99</x:v>
      </x:c>
      <x:c r="L5" t="n">
        <x:v>20.45</x:v>
      </x:c>
      <x:c r="M5" t="n">
        <x:v>20.97</x:v>
      </x:c>
      <x:c r="N5" t="n">
        <x:v>376252</x:v>
      </x:c>
      <x:c r="O5" t="n">
        <x:v>0.625129946975</x:v>
      </x:c>
      <x:c r="P5" t="n">
        <x:v>0.622916188574</x:v>
      </x:c>
      <x:c r="Q5" t="n">
        <x:v>0.00083995</x:v>
      </x:c>
      <x:c r="R5" t="str">
        <x:v>Accepted</x:v>
      </x:c>
      <x:c r="S5" t="n">
        <x:v>22</x:v>
      </x:c>
      <x:c r="T5" t="n">
        <x:v>17</x:v>
      </x:c>
      <x:c r="U5" t="n">
        <x:v>52.818181818</x:v>
      </x:c>
      <x:c r="V5" t="n">
        <x:v>68.352941176</x:v>
      </x:c>
      <x:c r="W5" t="n">
        <x:v>80</x:v>
      </x:c>
      <x:c r="X5" t="n">
        <x:v>28.352941176</x:v>
      </x:c>
      <x:c r="Y5" t="n">
        <x:v>31</x:v>
      </x:c>
    </x:row>
    <x:row r="6">
      <x:c r="A6" t="str">
        <x:v>w1_v32</x:v>
      </x:c>
      <x:c r="B6" t="n">
        <x:v>1</x:v>
      </x:c>
      <x:c r="C6" t="n">
        <x:v>32</x:v>
      </x:c>
      <x:c r="D6" t="n">
        <x:v>5</x:v>
      </x:c>
      <x:c r="E6" t="n">
        <x:v>373138</x:v>
      </x:c>
      <x:c r="F6" t="n">
        <x:v>4</x:v>
      </x:c>
      <x:c r="G6" t="str">
        <x:v>ng-dgx-m0-08.cloud.r-ccs.riken.jp</x:v>
      </x:c>
      <x:c r="H6" t="str">
        <x:v>NVIDIA GB10</x:v>
      </x:c>
      <x:c r="I6" t="n">
        <x:v>0</x:v>
      </x:c>
      <x:c r="J6" t="n">
        <x:v>20.16</x:v>
      </x:c>
      <x:c r="K6" t="n">
        <x:v>20.17</x:v>
      </x:c>
      <x:c r="L6" t="n">
        <x:v>20.61</x:v>
      </x:c>
      <x:c r="M6" t="n">
        <x:v>21.16</x:v>
      </x:c>
      <x:c r="N6" t="n">
        <x:v>376908</x:v>
      </x:c>
      <x:c r="O6" t="n">
        <x:v>0.625129946975</x:v>
      </x:c>
      <x:c r="P6" t="n">
        <x:v>0.622916188574</x:v>
      </x:c>
      <x:c r="Q6" t="n">
        <x:v>0.00083995</x:v>
      </x:c>
      <x:c r="R6" t="str">
        <x:v>Accepted</x:v>
      </x:c>
      <x:c r="S6" t="n">
        <x:v>22</x:v>
      </x:c>
      <x:c r="T6" t="n">
        <x:v>20</x:v>
      </x:c>
      <x:c r="U6" t="n">
        <x:v>54.681818182</x:v>
      </x:c>
      <x:c r="V6" t="n">
        <x:v>60.15</x:v>
      </x:c>
      <x:c r="W6" t="n">
        <x:v>80</x:v>
      </x:c>
      <x:c r="X6" t="n">
        <x:v>26.75</x:v>
      </x:c>
      <x:c r="Y6" t="n">
        <x:v>30</x:v>
      </x:c>
    </x:row>
    <x:row r="7">
      <x:c r="A7" t="str">
        <x:v>w1_v32</x:v>
      </x:c>
      <x:c r="B7" t="n">
        <x:v>1</x:v>
      </x:c>
      <x:c r="C7" t="n">
        <x:v>32</x:v>
      </x:c>
      <x:c r="D7" t="n">
        <x:v>6</x:v>
      </x:c>
      <x:c r="E7" t="n">
        <x:v>373138</x:v>
      </x:c>
      <x:c r="F7" t="n">
        <x:v>5</x:v>
      </x:c>
      <x:c r="G7" t="str">
        <x:v>ng-dgx-m0-09.cloud.r-ccs.riken.jp</x:v>
      </x:c>
      <x:c r="H7" t="str">
        <x:v>NVIDIA GB10</x:v>
      </x:c>
      <x:c r="I7" t="n">
        <x:v>0</x:v>
      </x:c>
      <x:c r="J7" t="n">
        <x:v>19.71</x:v>
      </x:c>
      <x:c r="K7" t="n">
        <x:v>19.72</x:v>
      </x:c>
      <x:c r="L7" t="n">
        <x:v>20.16</x:v>
      </x:c>
      <x:c r="M7" t="n">
        <x:v>20.68</x:v>
      </x:c>
      <x:c r="N7" t="n">
        <x:v>376240</x:v>
      </x:c>
      <x:c r="O7" t="n">
        <x:v>0.625129946975</x:v>
      </x:c>
      <x:c r="P7" t="n">
        <x:v>0.622916188574</x:v>
      </x:c>
      <x:c r="Q7" t="n">
        <x:v>0.00083995</x:v>
      </x:c>
      <x:c r="R7" t="str">
        <x:v>Accepted</x:v>
      </x:c>
      <x:c r="S7" t="n">
        <x:v>21</x:v>
      </x:c>
      <x:c r="T7" t="n">
        <x:v>18</x:v>
      </x:c>
      <x:c r="U7" t="n">
        <x:v>56.80952381</x:v>
      </x:c>
      <x:c r="V7" t="n">
        <x:v>66.277777778</x:v>
      </x:c>
      <x:c r="W7" t="n">
        <x:v>80</x:v>
      </x:c>
      <x:c r="X7" t="n">
        <x:v>28.5</x:v>
      </x:c>
      <x:c r="Y7" t="n">
        <x:v>31</x:v>
      </x:c>
    </x:row>
    <x:row r="8">
      <x:c r="A8" t="str">
        <x:v>w1_v32</x:v>
      </x:c>
      <x:c r="B8" t="n">
        <x:v>1</x:v>
      </x:c>
      <x:c r="C8" t="n">
        <x:v>32</x:v>
      </x:c>
      <x:c r="D8" t="n">
        <x:v>7</x:v>
      </x:c>
      <x:c r="E8" t="n">
        <x:v>373138</x:v>
      </x:c>
      <x:c r="F8" t="n">
        <x:v>6</x:v>
      </x:c>
      <x:c r="G8" t="str">
        <x:v>ng-dgx-m0-08.cloud.r-ccs.riken.jp</x:v>
      </x:c>
      <x:c r="H8" t="str">
        <x:v>NVIDIA GB10</x:v>
      </x:c>
      <x:c r="I8" t="n">
        <x:v>0</x:v>
      </x:c>
      <x:c r="J8" t="n">
        <x:v>20.15</x:v>
      </x:c>
      <x:c r="K8" t="n">
        <x:v>20.16</x:v>
      </x:c>
      <x:c r="L8" t="n">
        <x:v>20.55</x:v>
      </x:c>
      <x:c r="M8" t="n">
        <x:v>21.09</x:v>
      </x:c>
      <x:c r="N8" t="n">
        <x:v>376744</x:v>
      </x:c>
      <x:c r="O8" t="n">
        <x:v>0.625129946975</x:v>
      </x:c>
      <x:c r="P8" t="n">
        <x:v>0.622916188574</x:v>
      </x:c>
      <x:c r="Q8" t="n">
        <x:v>0.00083995</x:v>
      </x:c>
      <x:c r="R8" t="str">
        <x:v>Accepted</x:v>
      </x:c>
      <x:c r="S8" t="n">
        <x:v>22</x:v>
      </x:c>
      <x:c r="T8" t="n">
        <x:v>20</x:v>
      </x:c>
      <x:c r="U8" t="n">
        <x:v>55.363636364</x:v>
      </x:c>
      <x:c r="V8" t="n">
        <x:v>60.9</x:v>
      </x:c>
      <x:c r="W8" t="n">
        <x:v>80</x:v>
      </x:c>
      <x:c r="X8" t="n">
        <x:v>26.85</x:v>
      </x:c>
      <x:c r="Y8" t="n">
        <x:v>30</x:v>
      </x:c>
    </x:row>
    <x:row r="9">
      <x:c r="A9" t="str">
        <x:v>w1_v32</x:v>
      </x:c>
      <x:c r="B9" t="n">
        <x:v>1</x:v>
      </x:c>
      <x:c r="C9" t="n">
        <x:v>32</x:v>
      </x:c>
      <x:c r="D9" t="n">
        <x:v>8</x:v>
      </x:c>
      <x:c r="E9" t="n">
        <x:v>373138</x:v>
      </x:c>
      <x:c r="F9" t="n">
        <x:v>7</x:v>
      </x:c>
      <x:c r="G9" t="str">
        <x:v>ng-dgx-m0-09.cloud.r-ccs.riken.jp</x:v>
      </x:c>
      <x:c r="H9" t="str">
        <x:v>NVIDIA GB10</x:v>
      </x:c>
      <x:c r="I9" t="n">
        <x:v>0</x:v>
      </x:c>
      <x:c r="J9" t="n">
        <x:v>19.33</x:v>
      </x:c>
      <x:c r="K9" t="n">
        <x:v>19.35</x:v>
      </x:c>
      <x:c r="L9" t="n">
        <x:v>19.77</x:v>
      </x:c>
      <x:c r="M9" t="n">
        <x:v>20.32</x:v>
      </x:c>
      <x:c r="N9" t="n">
        <x:v>376356</x:v>
      </x:c>
      <x:c r="O9" t="n">
        <x:v>0.625129946975</x:v>
      </x:c>
      <x:c r="P9" t="n">
        <x:v>0.622916188574</x:v>
      </x:c>
      <x:c r="Q9" t="n">
        <x:v>0.00083995</x:v>
      </x:c>
      <x:c r="R9" t="str">
        <x:v>Accepted</x:v>
      </x:c>
      <x:c r="S9" t="n">
        <x:v>21</x:v>
      </x:c>
      <x:c r="T9" t="n">
        <x:v>19</x:v>
      </x:c>
      <x:c r="U9" t="n">
        <x:v>61.428571429</x:v>
      </x:c>
      <x:c r="V9" t="n">
        <x:v>67.894736842</x:v>
      </x:c>
      <x:c r="W9" t="n">
        <x:v>81</x:v>
      </x:c>
      <x:c r="X9" t="n">
        <x:v>28.842105263</x:v>
      </x:c>
      <x:c r="Y9" t="n">
        <x:v>32</x:v>
      </x:c>
    </x:row>
    <x:row r="10">
      <x:c r="A10" t="str">
        <x:v>w1_v32</x:v>
      </x:c>
      <x:c r="B10" t="n">
        <x:v>1</x:v>
      </x:c>
      <x:c r="C10" t="n">
        <x:v>32</x:v>
      </x:c>
      <x:c r="D10" t="n">
        <x:v>9</x:v>
      </x:c>
      <x:c r="E10" t="n">
        <x:v>373138</x:v>
      </x:c>
      <x:c r="F10" t="n">
        <x:v>8</x:v>
      </x:c>
      <x:c r="G10" t="str">
        <x:v>ng-dgx-m0-09.cloud.r-ccs.riken.jp</x:v>
      </x:c>
      <x:c r="H10" t="str">
        <x:v>NVIDIA GB10</x:v>
      </x:c>
      <x:c r="I10" t="n">
        <x:v>0</x:v>
      </x:c>
      <x:c r="J10" t="n">
        <x:v>19.64</x:v>
      </x:c>
      <x:c r="K10" t="n">
        <x:v>19.65</x:v>
      </x:c>
      <x:c r="L10" t="n">
        <x:v>20.11</x:v>
      </x:c>
      <x:c r="M10" t="n">
        <x:v>20.64</x:v>
      </x:c>
      <x:c r="N10" t="n">
        <x:v>376340</x:v>
      </x:c>
      <x:c r="O10" t="n">
        <x:v>0.625129946975</x:v>
      </x:c>
      <x:c r="P10" t="n">
        <x:v>0.622916188574</x:v>
      </x:c>
      <x:c r="Q10" t="n">
        <x:v>0.00083995</x:v>
      </x:c>
      <x:c r="R10" t="str">
        <x:v>Accepted</x:v>
      </x:c>
      <x:c r="S10" t="n">
        <x:v>21</x:v>
      </x:c>
      <x:c r="T10" t="n">
        <x:v>19</x:v>
      </x:c>
      <x:c r="U10" t="n">
        <x:v>54.095238095</x:v>
      </x:c>
      <x:c r="V10" t="n">
        <x:v>59.789473684</x:v>
      </x:c>
      <x:c r="W10" t="n">
        <x:v>80</x:v>
      </x:c>
      <x:c r="X10" t="n">
        <x:v>29</x:v>
      </x:c>
      <x:c r="Y10" t="n">
        <x:v>32</x:v>
      </x:c>
    </x:row>
    <x:row r="11">
      <x:c r="A11" t="str">
        <x:v>w1_v32</x:v>
      </x:c>
      <x:c r="B11" t="n">
        <x:v>1</x:v>
      </x:c>
      <x:c r="C11" t="n">
        <x:v>32</x:v>
      </x:c>
      <x:c r="D11" t="n">
        <x:v>10</x:v>
      </x:c>
      <x:c r="E11" t="n">
        <x:v>373138</x:v>
      </x:c>
      <x:c r="F11" t="n">
        <x:v>9</x:v>
      </x:c>
      <x:c r="G11" t="str">
        <x:v>ng-dgx-m0-08.cloud.r-ccs.riken.jp</x:v>
      </x:c>
      <x:c r="H11" t="str">
        <x:v>NVIDIA GB10</x:v>
      </x:c>
      <x:c r="I11" t="n">
        <x:v>0</x:v>
      </x:c>
      <x:c r="J11" t="n">
        <x:v>20.14</x:v>
      </x:c>
      <x:c r="K11" t="n">
        <x:v>20.15</x:v>
      </x:c>
      <x:c r="L11" t="n">
        <x:v>20.55</x:v>
      </x:c>
      <x:c r="M11" t="n">
        <x:v>21.1</x:v>
      </x:c>
      <x:c r="N11" t="n">
        <x:v>376788</x:v>
      </x:c>
      <x:c r="O11" t="n">
        <x:v>0.625129946975</x:v>
      </x:c>
      <x:c r="P11" t="n">
        <x:v>0.622916188574</x:v>
      </x:c>
      <x:c r="Q11" t="n">
        <x:v>0.00083995</x:v>
      </x:c>
      <x:c r="R11" t="str">
        <x:v>Accepted</x:v>
      </x:c>
      <x:c r="S11" t="n">
        <x:v>22</x:v>
      </x:c>
      <x:c r="T11" t="n">
        <x:v>19</x:v>
      </x:c>
      <x:c r="U11" t="n">
        <x:v>56.818181818</x:v>
      </x:c>
      <x:c r="V11" t="n">
        <x:v>65.789473684</x:v>
      </x:c>
      <x:c r="W11" t="n">
        <x:v>80</x:v>
      </x:c>
      <x:c r="X11" t="n">
        <x:v>26.684210526</x:v>
      </x:c>
      <x:c r="Y11" t="n">
        <x:v>30</x:v>
      </x:c>
    </x:row>
    <x:row r="12">
      <x:c r="A12" t="str">
        <x:v>w1_v64</x:v>
      </x:c>
      <x:c r="B12" t="n">
        <x:v>1</x:v>
      </x:c>
      <x:c r="C12" t="n">
        <x:v>64</x:v>
      </x:c>
      <x:c r="D12" t="n">
        <x:v>1</x:v>
      </x:c>
      <x:c r="E12" t="n">
        <x:v>373138</x:v>
      </x:c>
      <x:c r="F12" t="n">
        <x:v>10</x:v>
      </x:c>
      <x:c r="G12" t="str">
        <x:v>ng-dgx-m0-09.cloud.r-ccs.riken.jp</x:v>
      </x:c>
      <x:c r="H12" t="str">
        <x:v>NVIDIA GB10</x:v>
      </x:c>
      <x:c r="I12" t="n">
        <x:v>0</x:v>
      </x:c>
      <x:c r="J12" t="n">
        <x:v>19.41</x:v>
      </x:c>
      <x:c r="K12" t="n">
        <x:v>19.42</x:v>
      </x:c>
      <x:c r="L12" t="n">
        <x:v>19.82</x:v>
      </x:c>
      <x:c r="M12" t="n">
        <x:v>20.37</x:v>
      </x:c>
      <x:c r="N12" t="n">
        <x:v>376408</x:v>
      </x:c>
      <x:c r="O12" t="n">
        <x:v>0.625129946975</x:v>
      </x:c>
      <x:c r="P12" t="n">
        <x:v>0.622916188574</x:v>
      </x:c>
      <x:c r="Q12" t="n">
        <x:v>0.00083995</x:v>
      </x:c>
      <x:c r="R12" t="str">
        <x:v>Accepted</x:v>
      </x:c>
      <x:c r="S12" t="n">
        <x:v>21</x:v>
      </x:c>
      <x:c r="T12" t="n">
        <x:v>18</x:v>
      </x:c>
      <x:c r="U12" t="n">
        <x:v>57.428571429</x:v>
      </x:c>
      <x:c r="V12" t="n">
        <x:v>67</x:v>
      </x:c>
      <x:c r="W12" t="n">
        <x:v>80</x:v>
      </x:c>
      <x:c r="X12" t="n">
        <x:v>29.222222222</x:v>
      </x:c>
      <x:c r="Y12" t="n">
        <x:v>32</x:v>
      </x:c>
    </x:row>
    <x:row r="13">
      <x:c r="A13" t="str">
        <x:v>w1_v64</x:v>
      </x:c>
      <x:c r="B13" t="n">
        <x:v>1</x:v>
      </x:c>
      <x:c r="C13" t="n">
        <x:v>64</x:v>
      </x:c>
      <x:c r="D13" t="n">
        <x:v>2</x:v>
      </x:c>
      <x:c r="E13" t="n">
        <x:v>373138</x:v>
      </x:c>
      <x:c r="F13" t="n">
        <x:v>11</x:v>
      </x:c>
      <x:c r="G13" t="str">
        <x:v>ng-dgx-m0-08.cloud.r-ccs.riken.jp</x:v>
      </x:c>
      <x:c r="H13" t="str">
        <x:v>NVIDIA GB10</x:v>
      </x:c>
      <x:c r="I13" t="n">
        <x:v>0</x:v>
      </x:c>
      <x:c r="J13" t="n">
        <x:v>20.25</x:v>
      </x:c>
      <x:c r="K13" t="n">
        <x:v>20.26</x:v>
      </x:c>
      <x:c r="L13" t="n">
        <x:v>20.66</x:v>
      </x:c>
      <x:c r="M13" t="n">
        <x:v>21.22</x:v>
      </x:c>
      <x:c r="N13" t="n">
        <x:v>374500</x:v>
      </x:c>
      <x:c r="O13" t="n">
        <x:v>0.625129946975</x:v>
      </x:c>
      <x:c r="P13" t="n">
        <x:v>0.622916188574</x:v>
      </x:c>
      <x:c r="Q13" t="n">
        <x:v>0.00083995</x:v>
      </x:c>
      <x:c r="R13" t="str">
        <x:v>Accepted</x:v>
      </x:c>
      <x:c r="S13" t="n">
        <x:v>22</x:v>
      </x:c>
      <x:c r="T13" t="n">
        <x:v>20</x:v>
      </x:c>
      <x:c r="U13" t="n">
        <x:v>55</x:v>
      </x:c>
      <x:c r="V13" t="n">
        <x:v>60.5</x:v>
      </x:c>
      <x:c r="W13" t="n">
        <x:v>80</x:v>
      </x:c>
      <x:c r="X13" t="n">
        <x:v>26.5</x:v>
      </x:c>
      <x:c r="Y13" t="n">
        <x:v>30</x:v>
      </x:c>
    </x:row>
    <x:row r="14">
      <x:c r="A14" t="str">
        <x:v>w1_v64</x:v>
      </x:c>
      <x:c r="B14" t="n">
        <x:v>1</x:v>
      </x:c>
      <x:c r="C14" t="n">
        <x:v>64</x:v>
      </x:c>
      <x:c r="D14" t="n">
        <x:v>3</x:v>
      </x:c>
      <x:c r="E14" t="n">
        <x:v>373138</x:v>
      </x:c>
      <x:c r="F14" t="n">
        <x:v>12</x:v>
      </x:c>
      <x:c r="G14" t="str">
        <x:v>ng-dgx-m0-09.cloud.r-ccs.riken.jp</x:v>
      </x:c>
      <x:c r="H14" t="str">
        <x:v>NVIDIA GB10</x:v>
      </x:c>
      <x:c r="I14" t="n">
        <x:v>0</x:v>
      </x:c>
      <x:c r="J14" t="n">
        <x:v>19.49</x:v>
      </x:c>
      <x:c r="K14" t="n">
        <x:v>19.5</x:v>
      </x:c>
      <x:c r="L14" t="n">
        <x:v>19.96</x:v>
      </x:c>
      <x:c r="M14" t="n">
        <x:v>20.5</x:v>
      </x:c>
      <x:c r="N14" t="n">
        <x:v>376836</x:v>
      </x:c>
      <x:c r="O14" t="n">
        <x:v>0.625129946975</x:v>
      </x:c>
      <x:c r="P14" t="n">
        <x:v>0.622916188574</x:v>
      </x:c>
      <x:c r="Q14" t="n">
        <x:v>0.00083995</x:v>
      </x:c>
      <x:c r="R14" t="str">
        <x:v>Accepted</x:v>
      </x:c>
      <x:c r="S14" t="n">
        <x:v>21</x:v>
      </x:c>
      <x:c r="T14" t="n">
        <x:v>18</x:v>
      </x:c>
      <x:c r="U14" t="n">
        <x:v>53.857142857</x:v>
      </x:c>
      <x:c r="V14" t="n">
        <x:v>62.833333333</x:v>
      </x:c>
      <x:c r="W14" t="n">
        <x:v>80</x:v>
      </x:c>
      <x:c r="X14" t="n">
        <x:v>29.333333333</x:v>
      </x:c>
      <x:c r="Y14" t="n">
        <x:v>32</x:v>
      </x:c>
    </x:row>
    <x:row r="15">
      <x:c r="A15" t="str">
        <x:v>w1_v64</x:v>
      </x:c>
      <x:c r="B15" t="n">
        <x:v>1</x:v>
      </x:c>
      <x:c r="C15" t="n">
        <x:v>64</x:v>
      </x:c>
      <x:c r="D15" t="n">
        <x:v>4</x:v>
      </x:c>
      <x:c r="E15" t="n">
        <x:v>373138</x:v>
      </x:c>
      <x:c r="F15" t="n">
        <x:v>13</x:v>
      </x:c>
      <x:c r="G15" t="str">
        <x:v>ng-dgx-m0-08.cloud.r-ccs.riken.jp</x:v>
      </x:c>
      <x:c r="H15" t="str">
        <x:v>NVIDIA GB10</x:v>
      </x:c>
      <x:c r="I15" t="n">
        <x:v>0</x:v>
      </x:c>
      <x:c r="J15" t="n">
        <x:v>19.89</x:v>
      </x:c>
      <x:c r="K15" t="n">
        <x:v>19.91</x:v>
      </x:c>
      <x:c r="L15" t="n">
        <x:v>20.3</x:v>
      </x:c>
      <x:c r="M15" t="n">
        <x:v>20.83</x:v>
      </x:c>
      <x:c r="N15" t="n">
        <x:v>377048</x:v>
      </x:c>
      <x:c r="O15" t="n">
        <x:v>0.625129946975</x:v>
      </x:c>
      <x:c r="P15" t="n">
        <x:v>0.622916188574</x:v>
      </x:c>
      <x:c r="Q15" t="n">
        <x:v>0.00083995</x:v>
      </x:c>
      <x:c r="R15" t="str">
        <x:v>Accepted</x:v>
      </x:c>
      <x:c r="S15" t="n">
        <x:v>21</x:v>
      </x:c>
      <x:c r="T15" t="n">
        <x:v>19</x:v>
      </x:c>
      <x:c r="U15" t="n">
        <x:v>55.714285714</x:v>
      </x:c>
      <x:c r="V15" t="n">
        <x:v>61.578947368</x:v>
      </x:c>
      <x:c r="W15" t="n">
        <x:v>81</x:v>
      </x:c>
      <x:c r="X15" t="n">
        <x:v>26.736842105</x:v>
      </x:c>
      <x:c r="Y15" t="n">
        <x:v>30</x:v>
      </x:c>
    </x:row>
    <x:row r="16">
      <x:c r="A16" t="str">
        <x:v>w1_v64</x:v>
      </x:c>
      <x:c r="B16" t="n">
        <x:v>1</x:v>
      </x:c>
      <x:c r="C16" t="n">
        <x:v>64</x:v>
      </x:c>
      <x:c r="D16" t="n">
        <x:v>5</x:v>
      </x:c>
      <x:c r="E16" t="n">
        <x:v>373138</x:v>
      </x:c>
      <x:c r="F16" t="n">
        <x:v>14</x:v>
      </x:c>
      <x:c r="G16" t="str">
        <x:v>ng-dgx-m0-09.cloud.r-ccs.riken.jp</x:v>
      </x:c>
      <x:c r="H16" t="str">
        <x:v>NVIDIA GB10</x:v>
      </x:c>
      <x:c r="I16" t="n">
        <x:v>0</x:v>
      </x:c>
      <x:c r="J16" t="n">
        <x:v>19.67</x:v>
      </x:c>
      <x:c r="K16" t="n">
        <x:v>19.69</x:v>
      </x:c>
      <x:c r="L16" t="n">
        <x:v>20.11</x:v>
      </x:c>
      <x:c r="M16" t="n">
        <x:v>20.63</x:v>
      </x:c>
      <x:c r="N16" t="n">
        <x:v>376460</x:v>
      </x:c>
      <x:c r="O16" t="n">
        <x:v>0.625129946975</x:v>
      </x:c>
      <x:c r="P16" t="n">
        <x:v>0.622916188574</x:v>
      </x:c>
      <x:c r="Q16" t="n">
        <x:v>0.00083995</x:v>
      </x:c>
      <x:c r="R16" t="str">
        <x:v>Accepted</x:v>
      </x:c>
      <x:c r="S16" t="n">
        <x:v>21</x:v>
      </x:c>
      <x:c r="T16" t="n">
        <x:v>19</x:v>
      </x:c>
      <x:c r="U16" t="n">
        <x:v>58.19047619</x:v>
      </x:c>
      <x:c r="V16" t="n">
        <x:v>64.315789474</x:v>
      </x:c>
      <x:c r="W16" t="n">
        <x:v>80</x:v>
      </x:c>
      <x:c r="X16" t="n">
        <x:v>29.473684211</x:v>
      </x:c>
      <x:c r="Y16" t="n">
        <x:v>32</x:v>
      </x:c>
    </x:row>
    <x:row r="17">
      <x:c r="A17" t="str">
        <x:v>w1_v64</x:v>
      </x:c>
      <x:c r="B17" t="n">
        <x:v>1</x:v>
      </x:c>
      <x:c r="C17" t="n">
        <x:v>64</x:v>
      </x:c>
      <x:c r="D17" t="n">
        <x:v>6</x:v>
      </x:c>
      <x:c r="E17" t="n">
        <x:v>373138</x:v>
      </x:c>
      <x:c r="F17" t="n">
        <x:v>15</x:v>
      </x:c>
      <x:c r="G17" t="str">
        <x:v>ng-dgx-m0-08.cloud.r-ccs.riken.jp</x:v>
      </x:c>
      <x:c r="H17" t="str">
        <x:v>NVIDIA GB10</x:v>
      </x:c>
      <x:c r="I17" t="n">
        <x:v>0</x:v>
      </x:c>
      <x:c r="J17" t="n">
        <x:v>20.1</x:v>
      </x:c>
      <x:c r="K17" t="n">
        <x:v>20.11</x:v>
      </x:c>
      <x:c r="L17" t="n">
        <x:v>20.5</x:v>
      </x:c>
      <x:c r="M17" t="n">
        <x:v>21.06</x:v>
      </x:c>
      <x:c r="N17" t="n">
        <x:v>376832</x:v>
      </x:c>
      <x:c r="O17" t="n">
        <x:v>0.625129946975</x:v>
      </x:c>
      <x:c r="P17" t="n">
        <x:v>0.622916188574</x:v>
      </x:c>
      <x:c r="Q17" t="n">
        <x:v>0.00083995</x:v>
      </x:c>
      <x:c r="R17" t="str">
        <x:v>Accepted</x:v>
      </x:c>
      <x:c r="S17" t="n">
        <x:v>21</x:v>
      </x:c>
      <x:c r="T17" t="n">
        <x:v>19</x:v>
      </x:c>
      <x:c r="U17" t="n">
        <x:v>57.19047619</x:v>
      </x:c>
      <x:c r="V17" t="n">
        <x:v>63.210526316</x:v>
      </x:c>
      <x:c r="W17" t="n">
        <x:v>80</x:v>
      </x:c>
      <x:c r="X17" t="n">
        <x:v>26.473684211</x:v>
      </x:c>
      <x:c r="Y17" t="n">
        <x:v>29</x:v>
      </x:c>
    </x:row>
    <x:row r="18">
      <x:c r="A18" t="str">
        <x:v>w1_v64</x:v>
      </x:c>
      <x:c r="B18" t="n">
        <x:v>1</x:v>
      </x:c>
      <x:c r="C18" t="n">
        <x:v>64</x:v>
      </x:c>
      <x:c r="D18" t="n">
        <x:v>7</x:v>
      </x:c>
      <x:c r="E18" t="n">
        <x:v>373138</x:v>
      </x:c>
      <x:c r="F18" t="n">
        <x:v>16</x:v>
      </x:c>
      <x:c r="G18" t="str">
        <x:v>ng-dgx-m0-09.cloud.r-ccs.riken.jp</x:v>
      </x:c>
      <x:c r="H18" t="str">
        <x:v>NVIDIA GB10</x:v>
      </x:c>
      <x:c r="I18" t="n">
        <x:v>0</x:v>
      </x:c>
      <x:c r="J18" t="n">
        <x:v>19.63</x:v>
      </x:c>
      <x:c r="K18" t="n">
        <x:v>19.64</x:v>
      </x:c>
      <x:c r="L18" t="n">
        <x:v>20.07</x:v>
      </x:c>
      <x:c r="M18" t="n">
        <x:v>20.58</x:v>
      </x:c>
      <x:c r="N18" t="n">
        <x:v>376592</x:v>
      </x:c>
      <x:c r="O18" t="n">
        <x:v>0.625129946975</x:v>
      </x:c>
      <x:c r="P18" t="n">
        <x:v>0.622916188574</x:v>
      </x:c>
      <x:c r="Q18" t="n">
        <x:v>0.00083995</x:v>
      </x:c>
      <x:c r="R18" t="str">
        <x:v>Accepted</x:v>
      </x:c>
      <x:c r="S18" t="n">
        <x:v>21</x:v>
      </x:c>
      <x:c r="T18" t="n">
        <x:v>18</x:v>
      </x:c>
      <x:c r="U18" t="n">
        <x:v>57.047619048</x:v>
      </x:c>
      <x:c r="V18" t="n">
        <x:v>66.555555556</x:v>
      </x:c>
      <x:c r="W18" t="n">
        <x:v>80</x:v>
      </x:c>
      <x:c r="X18" t="n">
        <x:v>29.722222222</x:v>
      </x:c>
      <x:c r="Y18" t="n">
        <x:v>33</x:v>
      </x:c>
    </x:row>
    <x:row r="19">
      <x:c r="A19" t="str">
        <x:v>w1_v64</x:v>
      </x:c>
      <x:c r="B19" t="n">
        <x:v>1</x:v>
      </x:c>
      <x:c r="C19" t="n">
        <x:v>64</x:v>
      </x:c>
      <x:c r="D19" t="n">
        <x:v>8</x:v>
      </x:c>
      <x:c r="E19" t="n">
        <x:v>373138</x:v>
      </x:c>
      <x:c r="F19" t="n">
        <x:v>17</x:v>
      </x:c>
      <x:c r="G19" t="str">
        <x:v>ng-dgx-m0-08.cloud.r-ccs.riken.jp</x:v>
      </x:c>
      <x:c r="H19" t="str">
        <x:v>NVIDIA GB10</x:v>
      </x:c>
      <x:c r="I19" t="n">
        <x:v>0</x:v>
      </x:c>
      <x:c r="J19" t="n">
        <x:v>20.19</x:v>
      </x:c>
      <x:c r="K19" t="n">
        <x:v>20.21</x:v>
      </x:c>
      <x:c r="L19" t="n">
        <x:v>20.6</x:v>
      </x:c>
      <x:c r="M19" t="n">
        <x:v>21.14</x:v>
      </x:c>
      <x:c r="N19" t="n">
        <x:v>376808</x:v>
      </x:c>
      <x:c r="O19" t="n">
        <x:v>0.625129946975</x:v>
      </x:c>
      <x:c r="P19" t="n">
        <x:v>0.622916188574</x:v>
      </x:c>
      <x:c r="Q19" t="n">
        <x:v>0.00083995</x:v>
      </x:c>
      <x:c r="R19" t="str">
        <x:v>Accepted</x:v>
      </x:c>
      <x:c r="S19" t="n">
        <x:v>22</x:v>
      </x:c>
      <x:c r="T19" t="n">
        <x:v>19</x:v>
      </x:c>
      <x:c r="U19" t="n">
        <x:v>54.045454545</x:v>
      </x:c>
      <x:c r="V19" t="n">
        <x:v>62.578947368</x:v>
      </x:c>
      <x:c r="W19" t="n">
        <x:v>80</x:v>
      </x:c>
      <x:c r="X19" t="n">
        <x:v>26.578947368</x:v>
      </x:c>
      <x:c r="Y19" t="n">
        <x:v>30</x:v>
      </x:c>
    </x:row>
    <x:row r="20">
      <x:c r="A20" t="str">
        <x:v>w1_v64</x:v>
      </x:c>
      <x:c r="B20" t="n">
        <x:v>1</x:v>
      </x:c>
      <x:c r="C20" t="n">
        <x:v>64</x:v>
      </x:c>
      <x:c r="D20" t="n">
        <x:v>9</x:v>
      </x:c>
      <x:c r="E20" t="n">
        <x:v>373138</x:v>
      </x:c>
      <x:c r="F20" t="n">
        <x:v>18</x:v>
      </x:c>
      <x:c r="G20" t="str">
        <x:v>ng-dgx-m0-09.cloud.r-ccs.riken.jp</x:v>
      </x:c>
      <x:c r="H20" t="str">
        <x:v>NVIDIA GB10</x:v>
      </x:c>
      <x:c r="I20" t="n">
        <x:v>0</x:v>
      </x:c>
      <x:c r="J20" t="n">
        <x:v>19.88</x:v>
      </x:c>
      <x:c r="K20" t="n">
        <x:v>19.89</x:v>
      </x:c>
      <x:c r="L20" t="n">
        <x:v>20.33</x:v>
      </x:c>
      <x:c r="M20" t="n">
        <x:v>20.88</x:v>
      </x:c>
      <x:c r="N20" t="n">
        <x:v>376532</x:v>
      </x:c>
      <x:c r="O20" t="n">
        <x:v>0.625129946975</x:v>
      </x:c>
      <x:c r="P20" t="n">
        <x:v>0.622916188574</x:v>
      </x:c>
      <x:c r="Q20" t="n">
        <x:v>0.00083995</x:v>
      </x:c>
      <x:c r="R20" t="str">
        <x:v>Accepted</x:v>
      </x:c>
      <x:c r="S20" t="n">
        <x:v>21</x:v>
      </x:c>
      <x:c r="T20" t="n">
        <x:v>19</x:v>
      </x:c>
      <x:c r="U20" t="n">
        <x:v>56.142857143</x:v>
      </x:c>
      <x:c r="V20" t="n">
        <x:v>62.052631579</x:v>
      </x:c>
      <x:c r="W20" t="n">
        <x:v>80</x:v>
      </x:c>
      <x:c r="X20" t="n">
        <x:v>29.473684211</x:v>
      </x:c>
      <x:c r="Y20" t="n">
        <x:v>32</x:v>
      </x:c>
    </x:row>
    <x:row r="21">
      <x:c r="A21" t="str">
        <x:v>w1_v64</x:v>
      </x:c>
      <x:c r="B21" t="n">
        <x:v>1</x:v>
      </x:c>
      <x:c r="C21" t="n">
        <x:v>64</x:v>
      </x:c>
      <x:c r="D21" t="n">
        <x:v>10</x:v>
      </x:c>
      <x:c r="E21" t="n">
        <x:v>373138</x:v>
      </x:c>
      <x:c r="F21" t="n">
        <x:v>19</x:v>
      </x:c>
      <x:c r="G21" t="str">
        <x:v>ng-dgx-m0-08.cloud.r-ccs.riken.jp</x:v>
      </x:c>
      <x:c r="H21" t="str">
        <x:v>NVIDIA GB10</x:v>
      </x:c>
      <x:c r="I21" t="n">
        <x:v>0</x:v>
      </x:c>
      <x:c r="J21" t="n">
        <x:v>19.61</x:v>
      </x:c>
      <x:c r="K21" t="n">
        <x:v>19.63</x:v>
      </x:c>
      <x:c r="L21" t="n">
        <x:v>20.03</x:v>
      </x:c>
      <x:c r="M21" t="n">
        <x:v>20.57</x:v>
      </x:c>
      <x:c r="N21" t="n">
        <x:v>376860</x:v>
      </x:c>
      <x:c r="O21" t="n">
        <x:v>0.625129946975</x:v>
      </x:c>
      <x:c r="P21" t="n">
        <x:v>0.622916188574</x:v>
      </x:c>
      <x:c r="Q21" t="n">
        <x:v>0.00083995</x:v>
      </x:c>
      <x:c r="R21" t="str">
        <x:v>Accepted</x:v>
      </x:c>
      <x:c r="S21" t="n">
        <x:v>22</x:v>
      </x:c>
      <x:c r="T21" t="n">
        <x:v>19</x:v>
      </x:c>
      <x:c r="U21" t="n">
        <x:v>55.636363636</x:v>
      </x:c>
      <x:c r="V21" t="n">
        <x:v>64.421052632</x:v>
      </x:c>
      <x:c r="W21" t="n">
        <x:v>80</x:v>
      </x:c>
      <x:c r="X21" t="n">
        <x:v>26.789473684</x:v>
      </x:c>
      <x:c r="Y21" t="n">
        <x:v>30</x:v>
      </x:c>
    </x:row>
    <x:row r="22">
      <x:c r="A22" t="str">
        <x:v>w1_v128</x:v>
      </x:c>
      <x:c r="B22" t="n">
        <x:v>1</x:v>
      </x:c>
      <x:c r="C22" t="n">
        <x:v>128</x:v>
      </x:c>
      <x:c r="D22" t="n">
        <x:v>1</x:v>
      </x:c>
      <x:c r="E22" t="n">
        <x:v>373138</x:v>
      </x:c>
      <x:c r="F22" t="n">
        <x:v>20</x:v>
      </x:c>
      <x:c r="G22" t="str">
        <x:v>ng-dgx-m0-09.cloud.r-ccs.riken.jp</x:v>
      </x:c>
      <x:c r="H22" t="str">
        <x:v>NVIDIA GB10</x:v>
      </x:c>
      <x:c r="I22" t="n">
        <x:v>0</x:v>
      </x:c>
      <x:c r="J22" t="n">
        <x:v>20.02</x:v>
      </x:c>
      <x:c r="K22" t="n">
        <x:v>20.03</x:v>
      </x:c>
      <x:c r="L22" t="n">
        <x:v>20.48</x:v>
      </x:c>
      <x:c r="M22" t="n">
        <x:v>21.02</x:v>
      </x:c>
      <x:c r="N22" t="n">
        <x:v>376528</x:v>
      </x:c>
      <x:c r="O22" t="n">
        <x:v>0.625129946975</x:v>
      </x:c>
      <x:c r="P22" t="n">
        <x:v>0.622916188574</x:v>
      </x:c>
      <x:c r="Q22" t="n">
        <x:v>0.00083995</x:v>
      </x:c>
      <x:c r="R22" t="str">
        <x:v>Accepted</x:v>
      </x:c>
      <x:c r="S22" t="n">
        <x:v>21</x:v>
      </x:c>
      <x:c r="T22" t="n">
        <x:v>19</x:v>
      </x:c>
      <x:c r="U22" t="n">
        <x:v>54.761904762</x:v>
      </x:c>
      <x:c r="V22" t="n">
        <x:v>60.526315789</x:v>
      </x:c>
      <x:c r="W22" t="n">
        <x:v>80</x:v>
      </x:c>
      <x:c r="X22" t="n">
        <x:v>29.263157895</x:v>
      </x:c>
      <x:c r="Y22" t="n">
        <x:v>32</x:v>
      </x:c>
    </x:row>
    <x:row r="23">
      <x:c r="A23" t="str">
        <x:v>w1_v128</x:v>
      </x:c>
      <x:c r="B23" t="n">
        <x:v>1</x:v>
      </x:c>
      <x:c r="C23" t="n">
        <x:v>128</x:v>
      </x:c>
      <x:c r="D23" t="n">
        <x:v>2</x:v>
      </x:c>
      <x:c r="E23" t="n">
        <x:v>373138</x:v>
      </x:c>
      <x:c r="F23" t="n">
        <x:v>21</x:v>
      </x:c>
      <x:c r="G23" t="str">
        <x:v>ng-dgx-m0-08.cloud.r-ccs.riken.jp</x:v>
      </x:c>
      <x:c r="H23" t="str">
        <x:v>NVIDIA GB10</x:v>
      </x:c>
      <x:c r="I23" t="n">
        <x:v>0</x:v>
      </x:c>
      <x:c r="J23" t="n">
        <x:v>20.16</x:v>
      </x:c>
      <x:c r="K23" t="n">
        <x:v>20.17</x:v>
      </x:c>
      <x:c r="L23" t="n">
        <x:v>20.6</x:v>
      </x:c>
      <x:c r="M23" t="n">
        <x:v>21.16</x:v>
      </x:c>
      <x:c r="N23" t="n">
        <x:v>376844</x:v>
      </x:c>
      <x:c r="O23" t="n">
        <x:v>0.625129946975</x:v>
      </x:c>
      <x:c r="P23" t="n">
        <x:v>0.622916188574</x:v>
      </x:c>
      <x:c r="Q23" t="n">
        <x:v>0.00083995</x:v>
      </x:c>
      <x:c r="R23" t="str">
        <x:v>Accepted</x:v>
      </x:c>
      <x:c r="S23" t="n">
        <x:v>22</x:v>
      </x:c>
      <x:c r="T23" t="n">
        <x:v>19</x:v>
      </x:c>
      <x:c r="U23" t="n">
        <x:v>53.181818182</x:v>
      </x:c>
      <x:c r="V23" t="n">
        <x:v>61.578947368</x:v>
      </x:c>
      <x:c r="W23" t="n">
        <x:v>80</x:v>
      </x:c>
      <x:c r="X23" t="n">
        <x:v>26.631578947</x:v>
      </x:c>
      <x:c r="Y23" t="n">
        <x:v>30</x:v>
      </x:c>
    </x:row>
    <x:row r="24">
      <x:c r="A24" t="str">
        <x:v>w1_v128</x:v>
      </x:c>
      <x:c r="B24" t="n">
        <x:v>1</x:v>
      </x:c>
      <x:c r="C24" t="n">
        <x:v>128</x:v>
      </x:c>
      <x:c r="D24" t="n">
        <x:v>3</x:v>
      </x:c>
      <x:c r="E24" t="n">
        <x:v>373138</x:v>
      </x:c>
      <x:c r="F24" t="n">
        <x:v>22</x:v>
      </x:c>
      <x:c r="G24" t="str">
        <x:v>ng-dgx-m0-09.cloud.r-ccs.riken.jp</x:v>
      </x:c>
      <x:c r="H24" t="str">
        <x:v>NVIDIA GB10</x:v>
      </x:c>
      <x:c r="I24" t="n">
        <x:v>0</x:v>
      </x:c>
      <x:c r="J24" t="n">
        <x:v>19.48</x:v>
      </x:c>
      <x:c r="K24" t="n">
        <x:v>19.49</x:v>
      </x:c>
      <x:c r="L24" t="n">
        <x:v>19.92</x:v>
      </x:c>
      <x:c r="M24" t="n">
        <x:v>20.44</x:v>
      </x:c>
      <x:c r="N24" t="n">
        <x:v>376588</x:v>
      </x:c>
      <x:c r="O24" t="n">
        <x:v>0.625129946975</x:v>
      </x:c>
      <x:c r="P24" t="n">
        <x:v>0.622916188574</x:v>
      </x:c>
      <x:c r="Q24" t="n">
        <x:v>0.00083995</x:v>
      </x:c>
      <x:c r="R24" t="str">
        <x:v>Accepted</x:v>
      </x:c>
      <x:c r="S24" t="n">
        <x:v>21</x:v>
      </x:c>
      <x:c r="T24" t="n">
        <x:v>18</x:v>
      </x:c>
      <x:c r="U24" t="n">
        <x:v>55.80952381</x:v>
      </x:c>
      <x:c r="V24" t="n">
        <x:v>65.111111111</x:v>
      </x:c>
      <x:c r="W24" t="n">
        <x:v>80</x:v>
      </x:c>
      <x:c r="X24" t="n">
        <x:v>29.777777778</x:v>
      </x:c>
      <x:c r="Y24" t="n">
        <x:v>33</x:v>
      </x:c>
    </x:row>
    <x:row r="25">
      <x:c r="A25" t="str">
        <x:v>w1_v128</x:v>
      </x:c>
      <x:c r="B25" t="n">
        <x:v>1</x:v>
      </x:c>
      <x:c r="C25" t="n">
        <x:v>128</x:v>
      </x:c>
      <x:c r="D25" t="n">
        <x:v>4</x:v>
      </x:c>
      <x:c r="E25" t="n">
        <x:v>373138</x:v>
      </x:c>
      <x:c r="F25" t="n">
        <x:v>23</x:v>
      </x:c>
      <x:c r="G25" t="str">
        <x:v>ng-dgx-m0-08.cloud.r-ccs.riken.jp</x:v>
      </x:c>
      <x:c r="H25" t="str">
        <x:v>NVIDIA GB10</x:v>
      </x:c>
      <x:c r="I25" t="n">
        <x:v>0</x:v>
      </x:c>
      <x:c r="J25" t="n">
        <x:v>20.42</x:v>
      </x:c>
      <x:c r="K25" t="n">
        <x:v>20.43</x:v>
      </x:c>
      <x:c r="L25" t="n">
        <x:v>20.82</x:v>
      </x:c>
      <x:c r="M25" t="n">
        <x:v>21.36</x:v>
      </x:c>
      <x:c r="N25" t="n">
        <x:v>376656</x:v>
      </x:c>
      <x:c r="O25" t="n">
        <x:v>0.625129946975</x:v>
      </x:c>
      <x:c r="P25" t="n">
        <x:v>0.622916188574</x:v>
      </x:c>
      <x:c r="Q25" t="n">
        <x:v>0.00083995</x:v>
      </x:c>
      <x:c r="R25" t="str">
        <x:v>Accepted</x:v>
      </x:c>
      <x:c r="S25" t="n">
        <x:v>23</x:v>
      </x:c>
      <x:c r="T25" t="n">
        <x:v>19</x:v>
      </x:c>
      <x:c r="U25" t="n">
        <x:v>55.391304348</x:v>
      </x:c>
      <x:c r="V25" t="n">
        <x:v>67.052631579</x:v>
      </x:c>
      <x:c r="W25" t="n">
        <x:v>81</x:v>
      </x:c>
      <x:c r="X25" t="n">
        <x:v>26.789473684</x:v>
      </x:c>
      <x:c r="Y25" t="n">
        <x:v>30</x:v>
      </x:c>
    </x:row>
    <x:row r="26">
      <x:c r="A26" t="str">
        <x:v>w1_v128</x:v>
      </x:c>
      <x:c r="B26" t="n">
        <x:v>1</x:v>
      </x:c>
      <x:c r="C26" t="n">
        <x:v>128</x:v>
      </x:c>
      <x:c r="D26" t="n">
        <x:v>5</x:v>
      </x:c>
      <x:c r="E26" t="n">
        <x:v>373138</x:v>
      </x:c>
      <x:c r="F26" t="n">
        <x:v>24</x:v>
      </x:c>
      <x:c r="G26" t="str">
        <x:v>ng-dgx-m0-09.cloud.r-ccs.riken.jp</x:v>
      </x:c>
      <x:c r="H26" t="str">
        <x:v>NVIDIA GB10</x:v>
      </x:c>
      <x:c r="I26" t="n">
        <x:v>0</x:v>
      </x:c>
      <x:c r="J26" t="n">
        <x:v>20.24</x:v>
      </x:c>
      <x:c r="K26" t="n">
        <x:v>20.25</x:v>
      </x:c>
      <x:c r="L26" t="n">
        <x:v>20.66</x:v>
      </x:c>
      <x:c r="M26" t="n">
        <x:v>21.17</x:v>
      </x:c>
      <x:c r="N26" t="n">
        <x:v>376532</x:v>
      </x:c>
      <x:c r="O26" t="n">
        <x:v>0.625129946975</x:v>
      </x:c>
      <x:c r="P26" t="n">
        <x:v>0.622916188574</x:v>
      </x:c>
      <x:c r="Q26" t="n">
        <x:v>0.00083995</x:v>
      </x:c>
      <x:c r="R26" t="str">
        <x:v>Accepted</x:v>
      </x:c>
      <x:c r="S26" t="n">
        <x:v>22</x:v>
      </x:c>
      <x:c r="T26" t="n">
        <x:v>20</x:v>
      </x:c>
      <x:c r="U26" t="n">
        <x:v>54.954545455</x:v>
      </x:c>
      <x:c r="V26" t="n">
        <x:v>60.45</x:v>
      </x:c>
      <x:c r="W26" t="n">
        <x:v>80</x:v>
      </x:c>
      <x:c r="X26" t="n">
        <x:v>29.35</x:v>
      </x:c>
      <x:c r="Y26" t="n">
        <x:v>33</x:v>
      </x:c>
    </x:row>
    <x:row r="27">
      <x:c r="A27" t="str">
        <x:v>w1_v128</x:v>
      </x:c>
      <x:c r="B27" t="n">
        <x:v>1</x:v>
      </x:c>
      <x:c r="C27" t="n">
        <x:v>128</x:v>
      </x:c>
      <x:c r="D27" t="n">
        <x:v>6</x:v>
      </x:c>
      <x:c r="E27" t="n">
        <x:v>373138</x:v>
      </x:c>
      <x:c r="F27" t="n">
        <x:v>25</x:v>
      </x:c>
      <x:c r="G27" t="str">
        <x:v>ng-dgx-m0-08.cloud.r-ccs.riken.jp</x:v>
      </x:c>
      <x:c r="H27" t="str">
        <x:v>NVIDIA GB10</x:v>
      </x:c>
      <x:c r="I27" t="n">
        <x:v>0</x:v>
      </x:c>
      <x:c r="J27" t="n">
        <x:v>19.84</x:v>
      </x:c>
      <x:c r="K27" t="n">
        <x:v>19.85</x:v>
      </x:c>
      <x:c r="L27" t="n">
        <x:v>20.25</x:v>
      </x:c>
      <x:c r="M27" t="n">
        <x:v>20.85</x:v>
      </x:c>
      <x:c r="N27" t="n">
        <x:v>377008</x:v>
      </x:c>
      <x:c r="O27" t="n">
        <x:v>0.625129946975</x:v>
      </x:c>
      <x:c r="P27" t="n">
        <x:v>0.622916188574</x:v>
      </x:c>
      <x:c r="Q27" t="n">
        <x:v>0.00083995</x:v>
      </x:c>
      <x:c r="R27" t="str">
        <x:v>Accepted</x:v>
      </x:c>
      <x:c r="S27" t="n">
        <x:v>21</x:v>
      </x:c>
      <x:c r="T27" t="n">
        <x:v>19</x:v>
      </x:c>
      <x:c r="U27" t="n">
        <x:v>57.047619048</x:v>
      </x:c>
      <x:c r="V27" t="n">
        <x:v>63.052631579</x:v>
      </x:c>
      <x:c r="W27" t="n">
        <x:v>80</x:v>
      </x:c>
      <x:c r="X27" t="n">
        <x:v>26.789473684</x:v>
      </x:c>
      <x:c r="Y27" t="n">
        <x:v>30</x:v>
      </x:c>
    </x:row>
    <x:row r="28">
      <x:c r="A28" t="str">
        <x:v>w1_v128</x:v>
      </x:c>
      <x:c r="B28" t="n">
        <x:v>1</x:v>
      </x:c>
      <x:c r="C28" t="n">
        <x:v>128</x:v>
      </x:c>
      <x:c r="D28" t="n">
        <x:v>7</x:v>
      </x:c>
      <x:c r="E28" t="n">
        <x:v>373138</x:v>
      </x:c>
      <x:c r="F28" t="n">
        <x:v>26</x:v>
      </x:c>
      <x:c r="G28" t="str">
        <x:v>ng-dgx-m0-09.cloud.r-ccs.riken.jp</x:v>
      </x:c>
      <x:c r="H28" t="str">
        <x:v>NVIDIA GB10</x:v>
      </x:c>
      <x:c r="I28" t="n">
        <x:v>0</x:v>
      </x:c>
      <x:c r="J28" t="n">
        <x:v>19.59</x:v>
      </x:c>
      <x:c r="K28" t="n">
        <x:v>19.61</x:v>
      </x:c>
      <x:c r="L28" t="n">
        <x:v>20.01</x:v>
      </x:c>
      <x:c r="M28" t="n">
        <x:v>20.53</x:v>
      </x:c>
      <x:c r="N28" t="n">
        <x:v>376452</x:v>
      </x:c>
      <x:c r="O28" t="n">
        <x:v>0.625129946975</x:v>
      </x:c>
      <x:c r="P28" t="n">
        <x:v>0.622916188574</x:v>
      </x:c>
      <x:c r="Q28" t="n">
        <x:v>0.00083995</x:v>
      </x:c>
      <x:c r="R28" t="str">
        <x:v>Accepted</x:v>
      </x:c>
      <x:c r="S28" t="n">
        <x:v>21</x:v>
      </x:c>
      <x:c r="T28" t="n">
        <x:v>18</x:v>
      </x:c>
      <x:c r="U28" t="n">
        <x:v>54.142857143</x:v>
      </x:c>
      <x:c r="V28" t="n">
        <x:v>63.166666667</x:v>
      </x:c>
      <x:c r="W28" t="n">
        <x:v>80</x:v>
      </x:c>
      <x:c r="X28" t="n">
        <x:v>29.722222222</x:v>
      </x:c>
      <x:c r="Y28" t="n">
        <x:v>32</x:v>
      </x:c>
    </x:row>
    <x:row r="29">
      <x:c r="A29" t="str">
        <x:v>w1_v128</x:v>
      </x:c>
      <x:c r="B29" t="n">
        <x:v>1</x:v>
      </x:c>
      <x:c r="C29" t="n">
        <x:v>128</x:v>
      </x:c>
      <x:c r="D29" t="n">
        <x:v>8</x:v>
      </x:c>
      <x:c r="E29" t="n">
        <x:v>373138</x:v>
      </x:c>
      <x:c r="F29" t="n">
        <x:v>27</x:v>
      </x:c>
      <x:c r="G29" t="str">
        <x:v>ng-dgx-m0-08.cloud.r-ccs.riken.jp</x:v>
      </x:c>
      <x:c r="H29" t="str">
        <x:v>NVIDIA GB10</x:v>
      </x:c>
      <x:c r="I29" t="n">
        <x:v>0</x:v>
      </x:c>
      <x:c r="J29" t="n">
        <x:v>20.46</x:v>
      </x:c>
      <x:c r="K29" t="n">
        <x:v>20.47</x:v>
      </x:c>
      <x:c r="L29" t="n">
        <x:v>20.9</x:v>
      </x:c>
      <x:c r="M29" t="n">
        <x:v>21.43</x:v>
      </x:c>
      <x:c r="N29" t="n">
        <x:v>376932</x:v>
      </x:c>
      <x:c r="O29" t="n">
        <x:v>0.625129946975</x:v>
      </x:c>
      <x:c r="P29" t="n">
        <x:v>0.622916188574</x:v>
      </x:c>
      <x:c r="Q29" t="n">
        <x:v>0.00083995</x:v>
      </x:c>
      <x:c r="R29" t="str">
        <x:v>Accepted</x:v>
      </x:c>
      <x:c r="S29" t="n">
        <x:v>22</x:v>
      </x:c>
      <x:c r="T29" t="n">
        <x:v>20</x:v>
      </x:c>
      <x:c r="U29" t="n">
        <x:v>56.363636364</x:v>
      </x:c>
      <x:c r="V29" t="n">
        <x:v>62</x:v>
      </x:c>
      <x:c r="W29" t="n">
        <x:v>80</x:v>
      </x:c>
      <x:c r="X29" t="n">
        <x:v>26.45</x:v>
      </x:c>
      <x:c r="Y29" t="n">
        <x:v>29</x:v>
      </x:c>
    </x:row>
    <x:row r="30">
      <x:c r="A30" t="str">
        <x:v>w1_v128</x:v>
      </x:c>
      <x:c r="B30" t="n">
        <x:v>1</x:v>
      </x:c>
      <x:c r="C30" t="n">
        <x:v>128</x:v>
      </x:c>
      <x:c r="D30" t="n">
        <x:v>9</x:v>
      </x:c>
      <x:c r="E30" t="n">
        <x:v>373138</x:v>
      </x:c>
      <x:c r="F30" t="n">
        <x:v>28</x:v>
      </x:c>
      <x:c r="G30" t="str">
        <x:v>ng-dgx-m0-09.cloud.r-ccs.riken.jp</x:v>
      </x:c>
      <x:c r="H30" t="str">
        <x:v>NVIDIA GB10</x:v>
      </x:c>
      <x:c r="I30" t="n">
        <x:v>0</x:v>
      </x:c>
      <x:c r="J30" t="n">
        <x:v>19.7</x:v>
      </x:c>
      <x:c r="K30" t="n">
        <x:v>19.71</x:v>
      </x:c>
      <x:c r="L30" t="n">
        <x:v>20.15</x:v>
      </x:c>
      <x:c r="M30" t="n">
        <x:v>20.67</x:v>
      </x:c>
      <x:c r="N30" t="n">
        <x:v>376500</x:v>
      </x:c>
      <x:c r="O30" t="n">
        <x:v>0.625129946975</x:v>
      </x:c>
      <x:c r="P30" t="n">
        <x:v>0.622916188574</x:v>
      </x:c>
      <x:c r="Q30" t="n">
        <x:v>0.00083995</x:v>
      </x:c>
      <x:c r="R30" t="str">
        <x:v>Accepted</x:v>
      </x:c>
      <x:c r="S30" t="n">
        <x:v>21</x:v>
      </x:c>
      <x:c r="T30" t="n">
        <x:v>18</x:v>
      </x:c>
      <x:c r="U30" t="n">
        <x:v>53.952380952</x:v>
      </x:c>
      <x:c r="V30" t="n">
        <x:v>62.944444444</x:v>
      </x:c>
      <x:c r="W30" t="n">
        <x:v>80</x:v>
      </x:c>
      <x:c r="X30" t="n">
        <x:v>29.611111111</x:v>
      </x:c>
      <x:c r="Y30" t="n">
        <x:v>33</x:v>
      </x:c>
    </x:row>
    <x:row r="31">
      <x:c r="A31" t="str">
        <x:v>w1_v128</x:v>
      </x:c>
      <x:c r="B31" t="n">
        <x:v>1</x:v>
      </x:c>
      <x:c r="C31" t="n">
        <x:v>128</x:v>
      </x:c>
      <x:c r="D31" t="n">
        <x:v>10</x:v>
      </x:c>
      <x:c r="E31" t="n">
        <x:v>373138</x:v>
      </x:c>
      <x:c r="F31" t="n">
        <x:v>29</x:v>
      </x:c>
      <x:c r="G31" t="str">
        <x:v>ng-dgx-m0-08.cloud.r-ccs.riken.jp</x:v>
      </x:c>
      <x:c r="H31" t="str">
        <x:v>NVIDIA GB10</x:v>
      </x:c>
      <x:c r="I31" t="n">
        <x:v>0</x:v>
      </x:c>
      <x:c r="J31" t="n">
        <x:v>20.38</x:v>
      </x:c>
      <x:c r="K31" t="n">
        <x:v>20.4</x:v>
      </x:c>
      <x:c r="L31" t="n">
        <x:v>20.8</x:v>
      </x:c>
      <x:c r="M31" t="n">
        <x:v>21.32</x:v>
      </x:c>
      <x:c r="N31" t="n">
        <x:v>376632</x:v>
      </x:c>
      <x:c r="O31" t="n">
        <x:v>0.625129946975</x:v>
      </x:c>
      <x:c r="P31" t="n">
        <x:v>0.622916188574</x:v>
      </x:c>
      <x:c r="Q31" t="n">
        <x:v>0.00083995</x:v>
      </x:c>
      <x:c r="R31" t="str">
        <x:v>Accepted</x:v>
      </x:c>
      <x:c r="S31" t="n">
        <x:v>22</x:v>
      </x:c>
      <x:c r="T31" t="n">
        <x:v>18</x:v>
      </x:c>
      <x:c r="U31" t="n">
        <x:v>58.727272727</x:v>
      </x:c>
      <x:c r="V31" t="n">
        <x:v>71.777777778</x:v>
      </x:c>
      <x:c r="W31" t="n">
        <x:v>81</x:v>
      </x:c>
      <x:c r="X31" t="n">
        <x:v>26.833333333</x:v>
      </x:c>
      <x:c r="Y31" t="n">
        <x:v>29</x:v>
      </x:c>
    </x:row>
    <x:row r="32">
      <x:c r="A32" t="str">
        <x:v>w2_v32</x:v>
      </x:c>
      <x:c r="B32" t="n">
        <x:v>2</x:v>
      </x:c>
      <x:c r="C32" t="n">
        <x:v>32</x:v>
      </x:c>
      <x:c r="D32" t="n">
        <x:v>1</x:v>
      </x:c>
      <x:c r="E32" t="n">
        <x:v>373138</x:v>
      </x:c>
      <x:c r="F32" t="n">
        <x:v>30</x:v>
      </x:c>
      <x:c r="G32" t="str">
        <x:v>ng-dgx-m0-09.cloud.r-ccs.riken.jp</x:v>
      </x:c>
      <x:c r="H32" t="str">
        <x:v>NVIDIA GB10</x:v>
      </x:c>
      <x:c r="I32" t="n">
        <x:v>0</x:v>
      </x:c>
      <x:c r="J32" t="n">
        <x:v>19.79</x:v>
      </x:c>
      <x:c r="K32" t="n">
        <x:v>19.8</x:v>
      </x:c>
      <x:c r="L32" t="n">
        <x:v>20.24</x:v>
      </x:c>
      <x:c r="M32" t="n">
        <x:v>20.78</x:v>
      </x:c>
      <x:c r="N32" t="n">
        <x:v>376788</x:v>
      </x:c>
      <x:c r="O32" t="n">
        <x:v>0.625129946975</x:v>
      </x:c>
      <x:c r="P32" t="n">
        <x:v>0.622916188574</x:v>
      </x:c>
      <x:c r="Q32" t="n">
        <x:v>0.00083995</x:v>
      </x:c>
      <x:c r="R32" t="str">
        <x:v>Accepted</x:v>
      </x:c>
      <x:c r="S32" t="n">
        <x:v>22</x:v>
      </x:c>
      <x:c r="T32" t="n">
        <x:v>18</x:v>
      </x:c>
      <x:c r="U32" t="n">
        <x:v>54.318181818</x:v>
      </x:c>
      <x:c r="V32" t="n">
        <x:v>66.388888889</x:v>
      </x:c>
      <x:c r="W32" t="n">
        <x:v>80</x:v>
      </x:c>
      <x:c r="X32" t="n">
        <x:v>29.611111111</x:v>
      </x:c>
      <x:c r="Y32" t="n">
        <x:v>33</x:v>
      </x:c>
    </x:row>
    <x:row r="33">
      <x:c r="A33" t="str">
        <x:v>w2_v32</x:v>
      </x:c>
      <x:c r="B33" t="n">
        <x:v>2</x:v>
      </x:c>
      <x:c r="C33" t="n">
        <x:v>32</x:v>
      </x:c>
      <x:c r="D33" t="n">
        <x:v>2</x:v>
      </x:c>
      <x:c r="E33" t="n">
        <x:v>373138</x:v>
      </x:c>
      <x:c r="F33" t="n">
        <x:v>31</x:v>
      </x:c>
      <x:c r="G33" t="str">
        <x:v>ng-dgx-m0-08.cloud.r-ccs.riken.jp</x:v>
      </x:c>
      <x:c r="H33" t="str">
        <x:v>NVIDIA GB10</x:v>
      </x:c>
      <x:c r="I33" t="n">
        <x:v>0</x:v>
      </x:c>
      <x:c r="J33" t="n">
        <x:v>20.2</x:v>
      </x:c>
      <x:c r="K33" t="n">
        <x:v>20.22</x:v>
      </x:c>
      <x:c r="L33" t="n">
        <x:v>20.63</x:v>
      </x:c>
      <x:c r="M33" t="n">
        <x:v>21.18</x:v>
      </x:c>
      <x:c r="N33" t="n">
        <x:v>376972</x:v>
      </x:c>
      <x:c r="O33" t="n">
        <x:v>0.625129946975</x:v>
      </x:c>
      <x:c r="P33" t="n">
        <x:v>0.622916188574</x:v>
      </x:c>
      <x:c r="Q33" t="n">
        <x:v>0.00083995</x:v>
      </x:c>
      <x:c r="R33" t="str">
        <x:v>Accepted</x:v>
      </x:c>
      <x:c r="S33" t="n">
        <x:v>22</x:v>
      </x:c>
      <x:c r="T33" t="n">
        <x:v>19</x:v>
      </x:c>
      <x:c r="U33" t="n">
        <x:v>53</x:v>
      </x:c>
      <x:c r="V33" t="n">
        <x:v>61.368421053</x:v>
      </x:c>
      <x:c r="W33" t="n">
        <x:v>80</x:v>
      </x:c>
      <x:c r="X33" t="n">
        <x:v>26.473684211</x:v>
      </x:c>
      <x:c r="Y33" t="n">
        <x:v>29</x:v>
      </x:c>
    </x:row>
    <x:row r="34">
      <x:c r="A34" t="str">
        <x:v>w2_v32</x:v>
      </x:c>
      <x:c r="B34" t="n">
        <x:v>2</x:v>
      </x:c>
      <x:c r="C34" t="n">
        <x:v>32</x:v>
      </x:c>
      <x:c r="D34" t="n">
        <x:v>3</x:v>
      </x:c>
      <x:c r="E34" t="n">
        <x:v>373138</x:v>
      </x:c>
      <x:c r="F34" t="n">
        <x:v>32</x:v>
      </x:c>
      <x:c r="G34" t="str">
        <x:v>ng-dgx-m0-09.cloud.r-ccs.riken.jp</x:v>
      </x:c>
      <x:c r="H34" t="str">
        <x:v>NVIDIA GB10</x:v>
      </x:c>
      <x:c r="I34" t="n">
        <x:v>0</x:v>
      </x:c>
      <x:c r="J34" t="n">
        <x:v>19.71</x:v>
      </x:c>
      <x:c r="K34" t="n">
        <x:v>19.72</x:v>
      </x:c>
      <x:c r="L34" t="n">
        <x:v>20.17</x:v>
      </x:c>
      <x:c r="M34" t="n">
        <x:v>20.7</x:v>
      </x:c>
      <x:c r="N34" t="n">
        <x:v>376548</x:v>
      </x:c>
      <x:c r="O34" t="n">
        <x:v>0.625129946975</x:v>
      </x:c>
      <x:c r="P34" t="n">
        <x:v>0.622916188574</x:v>
      </x:c>
      <x:c r="Q34" t="n">
        <x:v>0.00083995</x:v>
      </x:c>
      <x:c r="R34" t="str">
        <x:v>Accepted</x:v>
      </x:c>
      <x:c r="S34" t="n">
        <x:v>21</x:v>
      </x:c>
      <x:c r="T34" t="n">
        <x:v>18</x:v>
      </x:c>
      <x:c r="U34" t="n">
        <x:v>55.285714286</x:v>
      </x:c>
      <x:c r="V34" t="n">
        <x:v>64.5</x:v>
      </x:c>
      <x:c r="W34" t="n">
        <x:v>80</x:v>
      </x:c>
      <x:c r="X34" t="n">
        <x:v>30</x:v>
      </x:c>
      <x:c r="Y34" t="n">
        <x:v>33</x:v>
      </x:c>
    </x:row>
    <x:row r="35">
      <x:c r="A35" t="str">
        <x:v>w2_v32</x:v>
      </x:c>
      <x:c r="B35" t="n">
        <x:v>2</x:v>
      </x:c>
      <x:c r="C35" t="n">
        <x:v>32</x:v>
      </x:c>
      <x:c r="D35" t="n">
        <x:v>4</x:v>
      </x:c>
      <x:c r="E35" t="n">
        <x:v>373138</x:v>
      </x:c>
      <x:c r="F35" t="n">
        <x:v>33</x:v>
      </x:c>
      <x:c r="G35" t="str">
        <x:v>ng-dgx-m0-08.cloud.r-ccs.riken.jp</x:v>
      </x:c>
      <x:c r="H35" t="str">
        <x:v>NVIDIA GB10</x:v>
      </x:c>
      <x:c r="I35" t="n">
        <x:v>0</x:v>
      </x:c>
      <x:c r="J35" t="n">
        <x:v>19.98</x:v>
      </x:c>
      <x:c r="K35" t="n">
        <x:v>20</x:v>
      </x:c>
      <x:c r="L35" t="n">
        <x:v>20.38</x:v>
      </x:c>
      <x:c r="M35" t="n">
        <x:v>20.91</x:v>
      </x:c>
      <x:c r="N35" t="n">
        <x:v>376676</x:v>
      </x:c>
      <x:c r="O35" t="n">
        <x:v>0.625129946975</x:v>
      </x:c>
      <x:c r="P35" t="n">
        <x:v>0.622916188574</x:v>
      </x:c>
      <x:c r="Q35" t="n">
        <x:v>0.00083995</x:v>
      </x:c>
      <x:c r="R35" t="str">
        <x:v>Accepted</x:v>
      </x:c>
      <x:c r="S35" t="n">
        <x:v>21</x:v>
      </x:c>
      <x:c r="T35" t="n">
        <x:v>19</x:v>
      </x:c>
      <x:c r="U35" t="n">
        <x:v>56.333333333</x:v>
      </x:c>
      <x:c r="V35" t="n">
        <x:v>62.263157895</x:v>
      </x:c>
      <x:c r="W35" t="n">
        <x:v>81</x:v>
      </x:c>
      <x:c r="X35" t="n">
        <x:v>27.105263158</x:v>
      </x:c>
      <x:c r="Y35" t="n">
        <x:v>30</x:v>
      </x:c>
    </x:row>
    <x:row r="36">
      <x:c r="A36" t="str">
        <x:v>w2_v32</x:v>
      </x:c>
      <x:c r="B36" t="n">
        <x:v>2</x:v>
      </x:c>
      <x:c r="C36" t="n">
        <x:v>32</x:v>
      </x:c>
      <x:c r="D36" t="n">
        <x:v>5</x:v>
      </x:c>
      <x:c r="E36" t="n">
        <x:v>373138</x:v>
      </x:c>
      <x:c r="F36" t="n">
        <x:v>34</x:v>
      </x:c>
      <x:c r="G36" t="str">
        <x:v>ng-dgx-m0-09.cloud.r-ccs.riken.jp</x:v>
      </x:c>
      <x:c r="H36" t="str">
        <x:v>NVIDIA GB10</x:v>
      </x:c>
      <x:c r="I36" t="n">
        <x:v>0</x:v>
      </x:c>
      <x:c r="J36" t="n">
        <x:v>19.92</x:v>
      </x:c>
      <x:c r="K36" t="n">
        <x:v>19.93</x:v>
      </x:c>
      <x:c r="L36" t="n">
        <x:v>20.34</x:v>
      </x:c>
      <x:c r="M36" t="n">
        <x:v>20.86</x:v>
      </x:c>
      <x:c r="N36" t="n">
        <x:v>376692</x:v>
      </x:c>
      <x:c r="O36" t="n">
        <x:v>0.625129946975</x:v>
      </x:c>
      <x:c r="P36" t="n">
        <x:v>0.622916188574</x:v>
      </x:c>
      <x:c r="Q36" t="n">
        <x:v>0.00083995</x:v>
      </x:c>
      <x:c r="R36" t="str">
        <x:v>Accepted</x:v>
      </x:c>
      <x:c r="S36" t="n">
        <x:v>21</x:v>
      </x:c>
      <x:c r="T36" t="n">
        <x:v>19</x:v>
      </x:c>
      <x:c r="U36" t="n">
        <x:v>57</x:v>
      </x:c>
      <x:c r="V36" t="n">
        <x:v>63</x:v>
      </x:c>
      <x:c r="W36" t="n">
        <x:v>80</x:v>
      </x:c>
      <x:c r="X36" t="n">
        <x:v>30.263157895</x:v>
      </x:c>
      <x:c r="Y36" t="n">
        <x:v>33</x:v>
      </x:c>
    </x:row>
    <x:row r="37">
      <x:c r="A37" t="str">
        <x:v>w2_v32</x:v>
      </x:c>
      <x:c r="B37" t="n">
        <x:v>2</x:v>
      </x:c>
      <x:c r="C37" t="n">
        <x:v>32</x:v>
      </x:c>
      <x:c r="D37" t="n">
        <x:v>6</x:v>
      </x:c>
      <x:c r="E37" t="n">
        <x:v>373138</x:v>
      </x:c>
      <x:c r="F37" t="n">
        <x:v>35</x:v>
      </x:c>
      <x:c r="G37" t="str">
        <x:v>ng-dgx-m0-08.cloud.r-ccs.riken.jp</x:v>
      </x:c>
      <x:c r="H37" t="str">
        <x:v>NVIDIA GB10</x:v>
      </x:c>
      <x:c r="I37" t="n">
        <x:v>0</x:v>
      </x:c>
      <x:c r="J37" t="n">
        <x:v>20.2</x:v>
      </x:c>
      <x:c r="K37" t="n">
        <x:v>20.21</x:v>
      </x:c>
      <x:c r="L37" t="n">
        <x:v>20.64</x:v>
      </x:c>
      <x:c r="M37" t="n">
        <x:v>21.18</x:v>
      </x:c>
      <x:c r="N37" t="n">
        <x:v>376636</x:v>
      </x:c>
      <x:c r="O37" t="n">
        <x:v>0.625129946975</x:v>
      </x:c>
      <x:c r="P37" t="n">
        <x:v>0.622916188574</x:v>
      </x:c>
      <x:c r="Q37" t="n">
        <x:v>0.00083995</x:v>
      </x:c>
      <x:c r="R37" t="str">
        <x:v>Accepted</x:v>
      </x:c>
      <x:c r="S37" t="n">
        <x:v>22</x:v>
      </x:c>
      <x:c r="T37" t="n">
        <x:v>19</x:v>
      </x:c>
      <x:c r="U37" t="n">
        <x:v>53.772727273</x:v>
      </x:c>
      <x:c r="V37" t="n">
        <x:v>62.263157895</x:v>
      </x:c>
      <x:c r="W37" t="n">
        <x:v>80</x:v>
      </x:c>
      <x:c r="X37" t="n">
        <x:v>26.789473684</x:v>
      </x:c>
      <x:c r="Y37" t="n">
        <x:v>29</x:v>
      </x:c>
    </x:row>
    <x:row r="38">
      <x:c r="A38" t="str">
        <x:v>w2_v32</x:v>
      </x:c>
      <x:c r="B38" t="n">
        <x:v>2</x:v>
      </x:c>
      <x:c r="C38" t="n">
        <x:v>32</x:v>
      </x:c>
      <x:c r="D38" t="n">
        <x:v>7</x:v>
      </x:c>
      <x:c r="E38" t="n">
        <x:v>373138</x:v>
      </x:c>
      <x:c r="F38" t="n">
        <x:v>36</x:v>
      </x:c>
      <x:c r="G38" t="str">
        <x:v>ng-dgx-m0-09.cloud.r-ccs.riken.jp</x:v>
      </x:c>
      <x:c r="H38" t="str">
        <x:v>NVIDIA GB10</x:v>
      </x:c>
      <x:c r="I38" t="n">
        <x:v>0</x:v>
      </x:c>
      <x:c r="J38" t="n">
        <x:v>19.96</x:v>
      </x:c>
      <x:c r="K38" t="n">
        <x:v>19.97</x:v>
      </x:c>
      <x:c r="L38" t="n">
        <x:v>20.41</x:v>
      </x:c>
      <x:c r="M38" t="n">
        <x:v>20.93</x:v>
      </x:c>
      <x:c r="N38" t="n">
        <x:v>376676</x:v>
      </x:c>
      <x:c r="O38" t="n">
        <x:v>0.625129946975</x:v>
      </x:c>
      <x:c r="P38" t="n">
        <x:v>0.622916188574</x:v>
      </x:c>
      <x:c r="Q38" t="n">
        <x:v>0.00083995</x:v>
      </x:c>
      <x:c r="R38" t="str">
        <x:v>Accepted</x:v>
      </x:c>
      <x:c r="S38" t="n">
        <x:v>21</x:v>
      </x:c>
      <x:c r="T38" t="n">
        <x:v>19</x:v>
      </x:c>
      <x:c r="U38" t="n">
        <x:v>58.238095238</x:v>
      </x:c>
      <x:c r="V38" t="n">
        <x:v>64.368421053</x:v>
      </x:c>
      <x:c r="W38" t="n">
        <x:v>80</x:v>
      </x:c>
      <x:c r="X38" t="n">
        <x:v>30.052631579</x:v>
      </x:c>
      <x:c r="Y38" t="n">
        <x:v>33</x:v>
      </x:c>
    </x:row>
    <x:row r="39">
      <x:c r="A39" t="str">
        <x:v>w2_v32</x:v>
      </x:c>
      <x:c r="B39" t="n">
        <x:v>2</x:v>
      </x:c>
      <x:c r="C39" t="n">
        <x:v>32</x:v>
      </x:c>
      <x:c r="D39" t="n">
        <x:v>8</x:v>
      </x:c>
      <x:c r="E39" t="n">
        <x:v>373138</x:v>
      </x:c>
      <x:c r="F39" t="n">
        <x:v>37</x:v>
      </x:c>
      <x:c r="G39" t="str">
        <x:v>ng-dgx-m0-08.cloud.r-ccs.riken.jp</x:v>
      </x:c>
      <x:c r="H39" t="str">
        <x:v>NVIDIA GB10</x:v>
      </x:c>
      <x:c r="I39" t="n">
        <x:v>0</x:v>
      </x:c>
      <x:c r="J39" t="n">
        <x:v>19.78</x:v>
      </x:c>
      <x:c r="K39" t="n">
        <x:v>19.8</x:v>
      </x:c>
      <x:c r="L39" t="n">
        <x:v>20.17</x:v>
      </x:c>
      <x:c r="M39" t="n">
        <x:v>20.69</x:v>
      </x:c>
      <x:c r="N39" t="n">
        <x:v>376928</x:v>
      </x:c>
      <x:c r="O39" t="n">
        <x:v>0.625129946975</x:v>
      </x:c>
      <x:c r="P39" t="n">
        <x:v>0.622916188574</x:v>
      </x:c>
      <x:c r="Q39" t="n">
        <x:v>0.00083995</x:v>
      </x:c>
      <x:c r="R39" t="str">
        <x:v>Accepted</x:v>
      </x:c>
      <x:c r="S39" t="n">
        <x:v>21</x:v>
      </x:c>
      <x:c r="T39" t="n">
        <x:v>19</x:v>
      </x:c>
      <x:c r="U39" t="n">
        <x:v>56</x:v>
      </x:c>
      <x:c r="V39" t="n">
        <x:v>61.894736842</x:v>
      </x:c>
      <x:c r="W39" t="n">
        <x:v>80</x:v>
      </x:c>
      <x:c r="X39" t="n">
        <x:v>26.842105263</x:v>
      </x:c>
      <x:c r="Y39" t="n">
        <x:v>30</x:v>
      </x:c>
    </x:row>
    <x:row r="40">
      <x:c r="A40" t="str">
        <x:v>w2_v32</x:v>
      </x:c>
      <x:c r="B40" t="n">
        <x:v>2</x:v>
      </x:c>
      <x:c r="C40" t="n">
        <x:v>32</x:v>
      </x:c>
      <x:c r="D40" t="n">
        <x:v>9</x:v>
      </x:c>
      <x:c r="E40" t="n">
        <x:v>373138</x:v>
      </x:c>
      <x:c r="F40" t="n">
        <x:v>38</x:v>
      </x:c>
      <x:c r="G40" t="str">
        <x:v>ng-dgx-m0-09.cloud.r-ccs.riken.jp</x:v>
      </x:c>
      <x:c r="H40" t="str">
        <x:v>NVIDIA GB10</x:v>
      </x:c>
      <x:c r="I40" t="n">
        <x:v>0</x:v>
      </x:c>
      <x:c r="J40" t="n">
        <x:v>19.83</x:v>
      </x:c>
      <x:c r="K40" t="n">
        <x:v>19.84</x:v>
      </x:c>
      <x:c r="L40" t="n">
        <x:v>20.3</x:v>
      </x:c>
      <x:c r="M40" t="n">
        <x:v>20.84</x:v>
      </x:c>
      <x:c r="N40" t="n">
        <x:v>376284</x:v>
      </x:c>
      <x:c r="O40" t="n">
        <x:v>0.625129946975</x:v>
      </x:c>
      <x:c r="P40" t="n">
        <x:v>0.622916188574</x:v>
      </x:c>
      <x:c r="Q40" t="n">
        <x:v>0.00083995</x:v>
      </x:c>
      <x:c r="R40" t="str">
        <x:v>Accepted</x:v>
      </x:c>
      <x:c r="S40" t="n">
        <x:v>22</x:v>
      </x:c>
      <x:c r="T40" t="n">
        <x:v>19</x:v>
      </x:c>
      <x:c r="U40" t="n">
        <x:v>55.772727273</x:v>
      </x:c>
      <x:c r="V40" t="n">
        <x:v>64.578947368</x:v>
      </x:c>
      <x:c r="W40" t="n">
        <x:v>80</x:v>
      </x:c>
      <x:c r="X40" t="n">
        <x:v>30.157894737</x:v>
      </x:c>
      <x:c r="Y40" t="n">
        <x:v>33</x:v>
      </x:c>
    </x:row>
    <x:row r="41">
      <x:c r="A41" t="str">
        <x:v>w2_v32</x:v>
      </x:c>
      <x:c r="B41" t="n">
        <x:v>2</x:v>
      </x:c>
      <x:c r="C41" t="n">
        <x:v>32</x:v>
      </x:c>
      <x:c r="D41" t="n">
        <x:v>10</x:v>
      </x:c>
      <x:c r="E41" t="n">
        <x:v>373138</x:v>
      </x:c>
      <x:c r="F41" t="n">
        <x:v>39</x:v>
      </x:c>
      <x:c r="G41" t="str">
        <x:v>ng-dgx-m0-08.cloud.r-ccs.riken.jp</x:v>
      </x:c>
      <x:c r="H41" t="str">
        <x:v>NVIDIA GB10</x:v>
      </x:c>
      <x:c r="I41" t="n">
        <x:v>0</x:v>
      </x:c>
      <x:c r="J41" t="n">
        <x:v>20.01</x:v>
      </x:c>
      <x:c r="K41" t="n">
        <x:v>20.03</x:v>
      </x:c>
      <x:c r="L41" t="n">
        <x:v>20.42</x:v>
      </x:c>
      <x:c r="M41" t="n">
        <x:v>20.94</x:v>
      </x:c>
      <x:c r="N41" t="n">
        <x:v>376864</x:v>
      </x:c>
      <x:c r="O41" t="n">
        <x:v>0.625129946975</x:v>
      </x:c>
      <x:c r="P41" t="n">
        <x:v>0.622916188574</x:v>
      </x:c>
      <x:c r="Q41" t="n">
        <x:v>0.00083995</x:v>
      </x:c>
      <x:c r="R41" t="str">
        <x:v>Accepted</x:v>
      </x:c>
      <x:c r="S41" t="n">
        <x:v>21</x:v>
      </x:c>
      <x:c r="T41" t="n">
        <x:v>19</x:v>
      </x:c>
      <x:c r="U41" t="n">
        <x:v>57</x:v>
      </x:c>
      <x:c r="V41" t="n">
        <x:v>63</x:v>
      </x:c>
      <x:c r="W41" t="n">
        <x:v>80</x:v>
      </x:c>
      <x:c r="X41" t="n">
        <x:v>26.578947368</x:v>
      </x:c>
      <x:c r="Y41" t="n">
        <x:v>29</x:v>
      </x:c>
    </x:row>
    <x:row r="42">
      <x:c r="A42" t="str">
        <x:v>w2_v64</x:v>
      </x:c>
      <x:c r="B42" t="n">
        <x:v>2</x:v>
      </x:c>
      <x:c r="C42" t="n">
        <x:v>64</x:v>
      </x:c>
      <x:c r="D42" t="n">
        <x:v>1</x:v>
      </x:c>
      <x:c r="E42" t="n">
        <x:v>373138</x:v>
      </x:c>
      <x:c r="F42" t="n">
        <x:v>40</x:v>
      </x:c>
      <x:c r="G42" t="str">
        <x:v>ng-dgx-m0-09.cloud.r-ccs.riken.jp</x:v>
      </x:c>
      <x:c r="H42" t="str">
        <x:v>NVIDIA GB10</x:v>
      </x:c>
      <x:c r="I42" t="n">
        <x:v>0</x:v>
      </x:c>
      <x:c r="J42" t="n">
        <x:v>19.96</x:v>
      </x:c>
      <x:c r="K42" t="n">
        <x:v>19.98</x:v>
      </x:c>
      <x:c r="L42" t="n">
        <x:v>20.38</x:v>
      </x:c>
      <x:c r="M42" t="n">
        <x:v>20.9</x:v>
      </x:c>
      <x:c r="N42" t="n">
        <x:v>376700</x:v>
      </x:c>
      <x:c r="O42" t="n">
        <x:v>0.625129946975</x:v>
      </x:c>
      <x:c r="P42" t="n">
        <x:v>0.622916188574</x:v>
      </x:c>
      <x:c r="Q42" t="n">
        <x:v>0.00083995</x:v>
      </x:c>
      <x:c r="R42" t="str">
        <x:v>Accepted</x:v>
      </x:c>
      <x:c r="S42" t="n">
        <x:v>21</x:v>
      </x:c>
      <x:c r="T42" t="n">
        <x:v>19</x:v>
      </x:c>
      <x:c r="U42" t="n">
        <x:v>55.904761905</x:v>
      </x:c>
      <x:c r="V42" t="n">
        <x:v>61.789473684</x:v>
      </x:c>
      <x:c r="W42" t="n">
        <x:v>80</x:v>
      </x:c>
      <x:c r="X42" t="n">
        <x:v>29.578947368</x:v>
      </x:c>
      <x:c r="Y42" t="n">
        <x:v>32</x:v>
      </x:c>
    </x:row>
    <x:row r="43">
      <x:c r="A43" t="str">
        <x:v>w2_v64</x:v>
      </x:c>
      <x:c r="B43" t="n">
        <x:v>2</x:v>
      </x:c>
      <x:c r="C43" t="n">
        <x:v>64</x:v>
      </x:c>
      <x:c r="D43" t="n">
        <x:v>2</x:v>
      </x:c>
      <x:c r="E43" t="n">
        <x:v>373138</x:v>
      </x:c>
      <x:c r="F43" t="n">
        <x:v>41</x:v>
      </x:c>
      <x:c r="G43" t="str">
        <x:v>ng-dgx-m0-08.cloud.r-ccs.riken.jp</x:v>
      </x:c>
      <x:c r="H43" t="str">
        <x:v>NVIDIA GB10</x:v>
      </x:c>
      <x:c r="I43" t="n">
        <x:v>0</x:v>
      </x:c>
      <x:c r="J43" t="n">
        <x:v>20</x:v>
      </x:c>
      <x:c r="K43" t="n">
        <x:v>20.02</x:v>
      </x:c>
      <x:c r="L43" t="n">
        <x:v>20.4</x:v>
      </x:c>
      <x:c r="M43" t="n">
        <x:v>20.92</x:v>
      </x:c>
      <x:c r="N43" t="n">
        <x:v>376692</x:v>
      </x:c>
      <x:c r="O43" t="n">
        <x:v>0.625129946975</x:v>
      </x:c>
      <x:c r="P43" t="n">
        <x:v>0.622916188574</x:v>
      </x:c>
      <x:c r="Q43" t="n">
        <x:v>0.00083995</x:v>
      </x:c>
      <x:c r="R43" t="str">
        <x:v>Accepted</x:v>
      </x:c>
      <x:c r="S43" t="n">
        <x:v>22</x:v>
      </x:c>
      <x:c r="T43" t="n">
        <x:v>18</x:v>
      </x:c>
      <x:c r="U43" t="n">
        <x:v>55.954545455</x:v>
      </x:c>
      <x:c r="V43" t="n">
        <x:v>68.388888889</x:v>
      </x:c>
      <x:c r="W43" t="n">
        <x:v>81</x:v>
      </x:c>
      <x:c r="X43" t="n">
        <x:v>26.777777778</x:v>
      </x:c>
      <x:c r="Y43" t="n">
        <x:v>29</x:v>
      </x:c>
    </x:row>
    <x:row r="44">
      <x:c r="A44" t="str">
        <x:v>w2_v64</x:v>
      </x:c>
      <x:c r="B44" t="n">
        <x:v>2</x:v>
      </x:c>
      <x:c r="C44" t="n">
        <x:v>64</x:v>
      </x:c>
      <x:c r="D44" t="n">
        <x:v>3</x:v>
      </x:c>
      <x:c r="E44" t="n">
        <x:v>373138</x:v>
      </x:c>
      <x:c r="F44" t="n">
        <x:v>42</x:v>
      </x:c>
      <x:c r="G44" t="str">
        <x:v>ng-dgx-m0-09.cloud.r-ccs.riken.jp</x:v>
      </x:c>
      <x:c r="H44" t="str">
        <x:v>NVIDIA GB10</x:v>
      </x:c>
      <x:c r="I44" t="n">
        <x:v>0</x:v>
      </x:c>
      <x:c r="J44" t="n">
        <x:v>20.18</x:v>
      </x:c>
      <x:c r="K44" t="n">
        <x:v>20.19</x:v>
      </x:c>
      <x:c r="L44" t="n">
        <x:v>20.59</x:v>
      </x:c>
      <x:c r="M44" t="n">
        <x:v>21.1</x:v>
      </x:c>
      <x:c r="N44" t="n">
        <x:v>375340</x:v>
      </x:c>
      <x:c r="O44" t="n">
        <x:v>0.625129946975</x:v>
      </x:c>
      <x:c r="P44" t="n">
        <x:v>0.622916188574</x:v>
      </x:c>
      <x:c r="Q44" t="n">
        <x:v>0.00083995</x:v>
      </x:c>
      <x:c r="R44" t="str">
        <x:v>Accepted</x:v>
      </x:c>
      <x:c r="S44" t="n">
        <x:v>22</x:v>
      </x:c>
      <x:c r="T44" t="n">
        <x:v>18</x:v>
      </x:c>
      <x:c r="U44" t="n">
        <x:v>54.909090909</x:v>
      </x:c>
      <x:c r="V44" t="n">
        <x:v>67.111111111</x:v>
      </x:c>
      <x:c r="W44" t="n">
        <x:v>80</x:v>
      </x:c>
      <x:c r="X44" t="n">
        <x:v>29.833333333</x:v>
      </x:c>
      <x:c r="Y44" t="n">
        <x:v>32</x:v>
      </x:c>
    </x:row>
    <x:row r="45">
      <x:c r="A45" t="str">
        <x:v>w2_v64</x:v>
      </x:c>
      <x:c r="B45" t="n">
        <x:v>2</x:v>
      </x:c>
      <x:c r="C45" t="n">
        <x:v>64</x:v>
      </x:c>
      <x:c r="D45" t="n">
        <x:v>4</x:v>
      </x:c>
      <x:c r="E45" t="n">
        <x:v>373138</x:v>
      </x:c>
      <x:c r="F45" t="n">
        <x:v>43</x:v>
      </x:c>
      <x:c r="G45" t="str">
        <x:v>ng-dgx-m0-08.cloud.r-ccs.riken.jp</x:v>
      </x:c>
      <x:c r="H45" t="str">
        <x:v>NVIDIA GB10</x:v>
      </x:c>
      <x:c r="I45" t="n">
        <x:v>0</x:v>
      </x:c>
      <x:c r="J45" t="n">
        <x:v>20.49</x:v>
      </x:c>
      <x:c r="K45" t="n">
        <x:v>20.51</x:v>
      </x:c>
      <x:c r="L45" t="n">
        <x:v>20.93</x:v>
      </x:c>
      <x:c r="M45" t="n">
        <x:v>21.53</x:v>
      </x:c>
      <x:c r="N45" t="n">
        <x:v>377064</x:v>
      </x:c>
      <x:c r="O45" t="n">
        <x:v>0.625129946975</x:v>
      </x:c>
      <x:c r="P45" t="n">
        <x:v>0.622916188574</x:v>
      </x:c>
      <x:c r="Q45" t="n">
        <x:v>0.00083995</x:v>
      </x:c>
      <x:c r="R45" t="str">
        <x:v>Accepted</x:v>
      </x:c>
      <x:c r="S45" t="n">
        <x:v>22</x:v>
      </x:c>
      <x:c r="T45" t="n">
        <x:v>20</x:v>
      </x:c>
      <x:c r="U45" t="n">
        <x:v>59.181818182</x:v>
      </x:c>
      <x:c r="V45" t="n">
        <x:v>65.1</x:v>
      </x:c>
      <x:c r="W45" t="n">
        <x:v>80</x:v>
      </x:c>
      <x:c r="X45" t="n">
        <x:v>26.25</x:v>
      </x:c>
      <x:c r="Y45" t="n">
        <x:v>29</x:v>
      </x:c>
    </x:row>
    <x:row r="46">
      <x:c r="A46" t="str">
        <x:v>w2_v64</x:v>
      </x:c>
      <x:c r="B46" t="n">
        <x:v>2</x:v>
      </x:c>
      <x:c r="C46" t="n">
        <x:v>64</x:v>
      </x:c>
      <x:c r="D46" t="n">
        <x:v>5</x:v>
      </x:c>
      <x:c r="E46" t="n">
        <x:v>373138</x:v>
      </x:c>
      <x:c r="F46" t="n">
        <x:v>44</x:v>
      </x:c>
      <x:c r="G46" t="str">
        <x:v>ng-dgx-m0-09.cloud.r-ccs.riken.jp</x:v>
      </x:c>
      <x:c r="H46" t="str">
        <x:v>NVIDIA GB10</x:v>
      </x:c>
      <x:c r="I46" t="n">
        <x:v>0</x:v>
      </x:c>
      <x:c r="J46" t="n">
        <x:v>19.5</x:v>
      </x:c>
      <x:c r="K46" t="n">
        <x:v>19.51</x:v>
      </x:c>
      <x:c r="L46" t="n">
        <x:v>19.91</x:v>
      </x:c>
      <x:c r="M46" t="n">
        <x:v>20.45</x:v>
      </x:c>
      <x:c r="N46" t="n">
        <x:v>376336</x:v>
      </x:c>
      <x:c r="O46" t="n">
        <x:v>0.625129946975</x:v>
      </x:c>
      <x:c r="P46" t="n">
        <x:v>0.622916188574</x:v>
      </x:c>
      <x:c r="Q46" t="n">
        <x:v>0.00083995</x:v>
      </x:c>
      <x:c r="R46" t="str">
        <x:v>Accepted</x:v>
      </x:c>
      <x:c r="S46" t="n">
        <x:v>21</x:v>
      </x:c>
      <x:c r="T46" t="n">
        <x:v>19</x:v>
      </x:c>
      <x:c r="U46" t="n">
        <x:v>60.476190476</x:v>
      </x:c>
      <x:c r="V46" t="n">
        <x:v>66.842105263</x:v>
      </x:c>
      <x:c r="W46" t="n">
        <x:v>80</x:v>
      </x:c>
      <x:c r="X46" t="n">
        <x:v>29.947368421</x:v>
      </x:c>
      <x:c r="Y46" t="n">
        <x:v>33</x:v>
      </x:c>
    </x:row>
    <x:row r="47">
      <x:c r="A47" t="str">
        <x:v>w2_v64</x:v>
      </x:c>
      <x:c r="B47" t="n">
        <x:v>2</x:v>
      </x:c>
      <x:c r="C47" t="n">
        <x:v>64</x:v>
      </x:c>
      <x:c r="D47" t="n">
        <x:v>6</x:v>
      </x:c>
      <x:c r="E47" t="n">
        <x:v>373138</x:v>
      </x:c>
      <x:c r="F47" t="n">
        <x:v>45</x:v>
      </x:c>
      <x:c r="G47" t="str">
        <x:v>ng-dgx-m0-08.cloud.r-ccs.riken.jp</x:v>
      </x:c>
      <x:c r="H47" t="str">
        <x:v>NVIDIA GB10</x:v>
      </x:c>
      <x:c r="I47" t="n">
        <x:v>0</x:v>
      </x:c>
      <x:c r="J47" t="n">
        <x:v>20.4</x:v>
      </x:c>
      <x:c r="K47" t="n">
        <x:v>20.44</x:v>
      </x:c>
      <x:c r="L47" t="n">
        <x:v>20.84</x:v>
      </x:c>
      <x:c r="M47" t="n">
        <x:v>21.36</x:v>
      </x:c>
      <x:c r="N47" t="n">
        <x:v>377100</x:v>
      </x:c>
      <x:c r="O47" t="n">
        <x:v>0.625129946975</x:v>
      </x:c>
      <x:c r="P47" t="n">
        <x:v>0.622916188574</x:v>
      </x:c>
      <x:c r="Q47" t="n">
        <x:v>0.00083995</x:v>
      </x:c>
      <x:c r="R47" t="str">
        <x:v>Accepted</x:v>
      </x:c>
      <x:c r="S47" t="n">
        <x:v>22</x:v>
      </x:c>
      <x:c r="T47" t="n">
        <x:v>18</x:v>
      </x:c>
      <x:c r="U47" t="n">
        <x:v>58.863636364</x:v>
      </x:c>
      <x:c r="V47" t="n">
        <x:v>71.944444444</x:v>
      </x:c>
      <x:c r="W47" t="n">
        <x:v>81</x:v>
      </x:c>
      <x:c r="X47" t="n">
        <x:v>26.944444444</x:v>
      </x:c>
      <x:c r="Y47" t="n">
        <x:v>29</x:v>
      </x:c>
    </x:row>
    <x:row r="48">
      <x:c r="A48" t="str">
        <x:v>w2_v64</x:v>
      </x:c>
      <x:c r="B48" t="n">
        <x:v>2</x:v>
      </x:c>
      <x:c r="C48" t="n">
        <x:v>64</x:v>
      </x:c>
      <x:c r="D48" t="n">
        <x:v>7</x:v>
      </x:c>
      <x:c r="E48" t="n">
        <x:v>373138</x:v>
      </x:c>
      <x:c r="F48" t="n">
        <x:v>46</x:v>
      </x:c>
      <x:c r="G48" t="str">
        <x:v>ng-dgx-m0-09.cloud.r-ccs.riken.jp</x:v>
      </x:c>
      <x:c r="H48" t="str">
        <x:v>NVIDIA GB10</x:v>
      </x:c>
      <x:c r="I48" t="n">
        <x:v>0</x:v>
      </x:c>
      <x:c r="J48" t="n">
        <x:v>20.13</x:v>
      </x:c>
      <x:c r="K48" t="n">
        <x:v>20.14</x:v>
      </x:c>
      <x:c r="L48" t="n">
        <x:v>20.59</x:v>
      </x:c>
      <x:c r="M48" t="n">
        <x:v>21.13</x:v>
      </x:c>
      <x:c r="N48" t="n">
        <x:v>376940</x:v>
      </x:c>
      <x:c r="O48" t="n">
        <x:v>0.625129946975</x:v>
      </x:c>
      <x:c r="P48" t="n">
        <x:v>0.622916188574</x:v>
      </x:c>
      <x:c r="Q48" t="n">
        <x:v>0.00083995</x:v>
      </x:c>
      <x:c r="R48" t="str">
        <x:v>Accepted</x:v>
      </x:c>
      <x:c r="S48" t="n">
        <x:v>22</x:v>
      </x:c>
      <x:c r="T48" t="n">
        <x:v>19</x:v>
      </x:c>
      <x:c r="U48" t="n">
        <x:v>56.5</x:v>
      </x:c>
      <x:c r="V48" t="n">
        <x:v>65.421052632</x:v>
      </x:c>
      <x:c r="W48" t="n">
        <x:v>80</x:v>
      </x:c>
      <x:c r="X48" t="n">
        <x:v>29.578947368</x:v>
      </x:c>
      <x:c r="Y48" t="n">
        <x:v>33</x:v>
      </x:c>
    </x:row>
    <x:row r="49">
      <x:c r="A49" t="str">
        <x:v>w2_v64</x:v>
      </x:c>
      <x:c r="B49" t="n">
        <x:v>2</x:v>
      </x:c>
      <x:c r="C49" t="n">
        <x:v>64</x:v>
      </x:c>
      <x:c r="D49" t="n">
        <x:v>8</x:v>
      </x:c>
      <x:c r="E49" t="n">
        <x:v>373138</x:v>
      </x:c>
      <x:c r="F49" t="n">
        <x:v>47</x:v>
      </x:c>
      <x:c r="G49" t="str">
        <x:v>ng-dgx-m0-08.cloud.r-ccs.riken.jp</x:v>
      </x:c>
      <x:c r="H49" t="str">
        <x:v>NVIDIA GB10</x:v>
      </x:c>
      <x:c r="I49" t="n">
        <x:v>0</x:v>
      </x:c>
      <x:c r="J49" t="n">
        <x:v>20.43</x:v>
      </x:c>
      <x:c r="K49" t="n">
        <x:v>20.45</x:v>
      </x:c>
      <x:c r="L49" t="n">
        <x:v>20.86</x:v>
      </x:c>
      <x:c r="M49" t="n">
        <x:v>21.39</x:v>
      </x:c>
      <x:c r="N49" t="n">
        <x:v>377060</x:v>
      </x:c>
      <x:c r="O49" t="n">
        <x:v>0.625129946975</x:v>
      </x:c>
      <x:c r="P49" t="n">
        <x:v>0.622916188574</x:v>
      </x:c>
      <x:c r="Q49" t="n">
        <x:v>0.00083995</x:v>
      </x:c>
      <x:c r="R49" t="str">
        <x:v>Accepted</x:v>
      </x:c>
      <x:c r="S49" t="n">
        <x:v>22</x:v>
      </x:c>
      <x:c r="T49" t="n">
        <x:v>19</x:v>
      </x:c>
      <x:c r="U49" t="n">
        <x:v>56</x:v>
      </x:c>
      <x:c r="V49" t="n">
        <x:v>64.842105263</x:v>
      </x:c>
      <x:c r="W49" t="n">
        <x:v>80</x:v>
      </x:c>
      <x:c r="X49" t="n">
        <x:v>26.842105263</x:v>
      </x:c>
      <x:c r="Y49" t="n">
        <x:v>29</x:v>
      </x:c>
    </x:row>
    <x:row r="50">
      <x:c r="A50" t="str">
        <x:v>w2_v64</x:v>
      </x:c>
      <x:c r="B50" t="n">
        <x:v>2</x:v>
      </x:c>
      <x:c r="C50" t="n">
        <x:v>64</x:v>
      </x:c>
      <x:c r="D50" t="n">
        <x:v>9</x:v>
      </x:c>
      <x:c r="E50" t="n">
        <x:v>373138</x:v>
      </x:c>
      <x:c r="F50" t="n">
        <x:v>48</x:v>
      </x:c>
      <x:c r="G50" t="str">
        <x:v>ng-dgx-m0-09.cloud.r-ccs.riken.jp</x:v>
      </x:c>
      <x:c r="H50" t="str">
        <x:v>NVIDIA GB10</x:v>
      </x:c>
      <x:c r="I50" t="n">
        <x:v>0</x:v>
      </x:c>
      <x:c r="J50" t="n">
        <x:v>20.07</x:v>
      </x:c>
      <x:c r="K50" t="n">
        <x:v>20.08</x:v>
      </x:c>
      <x:c r="L50" t="n">
        <x:v>20.52</x:v>
      </x:c>
      <x:c r="M50" t="n">
        <x:v>21.04</x:v>
      </x:c>
      <x:c r="N50" t="n">
        <x:v>376616</x:v>
      </x:c>
      <x:c r="O50" t="n">
        <x:v>0.625129946975</x:v>
      </x:c>
      <x:c r="P50" t="n">
        <x:v>0.622916188574</x:v>
      </x:c>
      <x:c r="Q50" t="n">
        <x:v>0.00083995</x:v>
      </x:c>
      <x:c r="R50" t="str">
        <x:v>Accepted</x:v>
      </x:c>
      <x:c r="S50" t="n">
        <x:v>21</x:v>
      </x:c>
      <x:c r="T50" t="n">
        <x:v>18</x:v>
      </x:c>
      <x:c r="U50" t="n">
        <x:v>55.19047619</x:v>
      </x:c>
      <x:c r="V50" t="n">
        <x:v>64.388888889</x:v>
      </x:c>
      <x:c r="W50" t="n">
        <x:v>80</x:v>
      </x:c>
      <x:c r="X50" t="n">
        <x:v>29.611111111</x:v>
      </x:c>
      <x:c r="Y50" t="n">
        <x:v>33</x:v>
      </x:c>
    </x:row>
    <x:row r="51">
      <x:c r="A51" t="str">
        <x:v>w2_v64</x:v>
      </x:c>
      <x:c r="B51" t="n">
        <x:v>2</x:v>
      </x:c>
      <x:c r="C51" t="n">
        <x:v>64</x:v>
      </x:c>
      <x:c r="D51" t="n">
        <x:v>10</x:v>
      </x:c>
      <x:c r="E51" t="n">
        <x:v>373138</x:v>
      </x:c>
      <x:c r="F51" t="n">
        <x:v>49</x:v>
      </x:c>
      <x:c r="G51" t="str">
        <x:v>ng-dgx-m0-08.cloud.r-ccs.riken.jp</x:v>
      </x:c>
      <x:c r="H51" t="str">
        <x:v>NVIDIA GB10</x:v>
      </x:c>
      <x:c r="I51" t="n">
        <x:v>0</x:v>
      </x:c>
      <x:c r="J51" t="n">
        <x:v>20.31</x:v>
      </x:c>
      <x:c r="K51" t="n">
        <x:v>20.34</x:v>
      </x:c>
      <x:c r="L51" t="n">
        <x:v>20.75</x:v>
      </x:c>
      <x:c r="M51" t="n">
        <x:v>21.29</x:v>
      </x:c>
      <x:c r="N51" t="n">
        <x:v>377072</x:v>
      </x:c>
      <x:c r="O51" t="n">
        <x:v>0.625129946975</x:v>
      </x:c>
      <x:c r="P51" t="n">
        <x:v>0.622916188574</x:v>
      </x:c>
      <x:c r="Q51" t="n">
        <x:v>0.00083995</x:v>
      </x:c>
      <x:c r="R51" t="str">
        <x:v>Accepted</x:v>
      </x:c>
      <x:c r="S51" t="n">
        <x:v>23</x:v>
      </x:c>
      <x:c r="T51" t="n">
        <x:v>20</x:v>
      </x:c>
      <x:c r="U51" t="n">
        <x:v>52.608695652</x:v>
      </x:c>
      <x:c r="V51" t="n">
        <x:v>60.5</x:v>
      </x:c>
      <x:c r="W51" t="n">
        <x:v>80</x:v>
      </x:c>
      <x:c r="X51" t="n">
        <x:v>26.55</x:v>
      </x:c>
      <x:c r="Y51" t="n">
        <x:v>29</x:v>
      </x:c>
    </x:row>
    <x:row r="52">
      <x:c r="A52" t="str">
        <x:v>w2_v128</x:v>
      </x:c>
      <x:c r="B52" t="n">
        <x:v>2</x:v>
      </x:c>
      <x:c r="C52" t="n">
        <x:v>128</x:v>
      </x:c>
      <x:c r="D52" t="n">
        <x:v>1</x:v>
      </x:c>
      <x:c r="E52" t="n">
        <x:v>373138</x:v>
      </x:c>
      <x:c r="F52" t="n">
        <x:v>50</x:v>
      </x:c>
      <x:c r="G52" t="str">
        <x:v>ng-dgx-m0-09.cloud.r-ccs.riken.jp</x:v>
      </x:c>
      <x:c r="H52" t="str">
        <x:v>NVIDIA GB10</x:v>
      </x:c>
      <x:c r="I52" t="n">
        <x:v>0</x:v>
      </x:c>
      <x:c r="J52" t="n">
        <x:v>20.7</x:v>
      </x:c>
      <x:c r="K52" t="n">
        <x:v>20.71</x:v>
      </x:c>
      <x:c r="L52" t="n">
        <x:v>21.1</x:v>
      </x:c>
      <x:c r="M52" t="n">
        <x:v>21.61</x:v>
      </x:c>
      <x:c r="N52" t="n">
        <x:v>376960</x:v>
      </x:c>
      <x:c r="O52" t="n">
        <x:v>0.625129946975</x:v>
      </x:c>
      <x:c r="P52" t="n">
        <x:v>0.622916188574</x:v>
      </x:c>
      <x:c r="Q52" t="n">
        <x:v>0.00083995</x:v>
      </x:c>
      <x:c r="R52" t="str">
        <x:v>Accepted</x:v>
      </x:c>
      <x:c r="S52" t="n">
        <x:v>23</x:v>
      </x:c>
      <x:c r="T52" t="n">
        <x:v>19</x:v>
      </x:c>
      <x:c r="U52" t="n">
        <x:v>55.217391304</x:v>
      </x:c>
      <x:c r="V52" t="n">
        <x:v>66.842105263</x:v>
      </x:c>
      <x:c r="W52" t="n">
        <x:v>81</x:v>
      </x:c>
      <x:c r="X52" t="n">
        <x:v>29.526315789</x:v>
      </x:c>
      <x:c r="Y52" t="n">
        <x:v>32</x:v>
      </x:c>
    </x:row>
    <x:row r="53">
      <x:c r="A53" t="str">
        <x:v>w2_v128</x:v>
      </x:c>
      <x:c r="B53" t="n">
        <x:v>2</x:v>
      </x:c>
      <x:c r="C53" t="n">
        <x:v>128</x:v>
      </x:c>
      <x:c r="D53" t="n">
        <x:v>2</x:v>
      </x:c>
      <x:c r="E53" t="n">
        <x:v>373138</x:v>
      </x:c>
      <x:c r="F53" t="n">
        <x:v>51</x:v>
      </x:c>
      <x:c r="G53" t="str">
        <x:v>ng-dgx-m0-08.cloud.r-ccs.riken.jp</x:v>
      </x:c>
      <x:c r="H53" t="str">
        <x:v>NVIDIA GB10</x:v>
      </x:c>
      <x:c r="I53" t="n">
        <x:v>0</x:v>
      </x:c>
      <x:c r="J53" t="n">
        <x:v>20.68</x:v>
      </x:c>
      <x:c r="K53" t="n">
        <x:v>20.72</x:v>
      </x:c>
      <x:c r="L53" t="n">
        <x:v>21.18</x:v>
      </x:c>
      <x:c r="M53" t="n">
        <x:v>21.73</x:v>
      </x:c>
      <x:c r="N53" t="n">
        <x:v>376880</x:v>
      </x:c>
      <x:c r="O53" t="n">
        <x:v>0.625129946975</x:v>
      </x:c>
      <x:c r="P53" t="n">
        <x:v>0.622916188574</x:v>
      </x:c>
      <x:c r="Q53" t="n">
        <x:v>0.00083995</x:v>
      </x:c>
      <x:c r="R53" t="str">
        <x:v>Accepted</x:v>
      </x:c>
      <x:c r="S53" t="n">
        <x:v>22</x:v>
      </x:c>
      <x:c r="T53" t="n">
        <x:v>20</x:v>
      </x:c>
      <x:c r="U53" t="n">
        <x:v>57.636363636</x:v>
      </x:c>
      <x:c r="V53" t="n">
        <x:v>63.4</x:v>
      </x:c>
      <x:c r="W53" t="n">
        <x:v>80</x:v>
      </x:c>
      <x:c r="X53" t="n">
        <x:v>26.25</x:v>
      </x:c>
      <x:c r="Y53" t="n">
        <x:v>29</x:v>
      </x:c>
    </x:row>
    <x:row r="54">
      <x:c r="A54" t="str">
        <x:v>w2_v128</x:v>
      </x:c>
      <x:c r="B54" t="n">
        <x:v>2</x:v>
      </x:c>
      <x:c r="C54" t="n">
        <x:v>128</x:v>
      </x:c>
      <x:c r="D54" t="n">
        <x:v>3</x:v>
      </x:c>
      <x:c r="E54" t="n">
        <x:v>373138</x:v>
      </x:c>
      <x:c r="F54" t="n">
        <x:v>52</x:v>
      </x:c>
      <x:c r="G54" t="str">
        <x:v>ng-dgx-m0-09.cloud.r-ccs.riken.jp</x:v>
      </x:c>
      <x:c r="H54" t="str">
        <x:v>NVIDIA GB10</x:v>
      </x:c>
      <x:c r="I54" t="n">
        <x:v>0</x:v>
      </x:c>
      <x:c r="J54" t="n">
        <x:v>20.65</x:v>
      </x:c>
      <x:c r="K54" t="n">
        <x:v>20.66</x:v>
      </x:c>
      <x:c r="L54" t="n">
        <x:v>21.05</x:v>
      </x:c>
      <x:c r="M54" t="n">
        <x:v>21.57</x:v>
      </x:c>
      <x:c r="N54" t="n">
        <x:v>376628</x:v>
      </x:c>
      <x:c r="O54" t="n">
        <x:v>0.625129946975</x:v>
      </x:c>
      <x:c r="P54" t="n">
        <x:v>0.622916188574</x:v>
      </x:c>
      <x:c r="Q54" t="n">
        <x:v>0.00083995</x:v>
      </x:c>
      <x:c r="R54" t="str">
        <x:v>Accepted</x:v>
      </x:c>
      <x:c r="S54" t="n">
        <x:v>22</x:v>
      </x:c>
      <x:c r="T54" t="n">
        <x:v>19</x:v>
      </x:c>
      <x:c r="U54" t="n">
        <x:v>58.227272727</x:v>
      </x:c>
      <x:c r="V54" t="n">
        <x:v>67.421052632</x:v>
      </x:c>
      <x:c r="W54" t="n">
        <x:v>81</x:v>
      </x:c>
      <x:c r="X54" t="n">
        <x:v>29.421052632</x:v>
      </x:c>
      <x:c r="Y54" t="n">
        <x:v>32</x:v>
      </x:c>
    </x:row>
    <x:row r="55">
      <x:c r="A55" t="str">
        <x:v>w2_v128</x:v>
      </x:c>
      <x:c r="B55" t="n">
        <x:v>2</x:v>
      </x:c>
      <x:c r="C55" t="n">
        <x:v>128</x:v>
      </x:c>
      <x:c r="D55" t="n">
        <x:v>4</x:v>
      </x:c>
      <x:c r="E55" t="n">
        <x:v>373138</x:v>
      </x:c>
      <x:c r="F55" t="n">
        <x:v>53</x:v>
      </x:c>
      <x:c r="G55" t="str">
        <x:v>ng-dgx-m0-08.cloud.r-ccs.riken.jp</x:v>
      </x:c>
      <x:c r="H55" t="str">
        <x:v>NVIDIA GB10</x:v>
      </x:c>
      <x:c r="I55" t="n">
        <x:v>0</x:v>
      </x:c>
      <x:c r="J55" t="n">
        <x:v>20.66</x:v>
      </x:c>
      <x:c r="K55" t="n">
        <x:v>20.68</x:v>
      </x:c>
      <x:c r="L55" t="n">
        <x:v>21.06</x:v>
      </x:c>
      <x:c r="M55" t="n">
        <x:v>21.59</x:v>
      </x:c>
      <x:c r="N55" t="n">
        <x:v>375692</x:v>
      </x:c>
      <x:c r="O55" t="n">
        <x:v>0.625129946975</x:v>
      </x:c>
      <x:c r="P55" t="n">
        <x:v>0.622916188574</x:v>
      </x:c>
      <x:c r="Q55" t="n">
        <x:v>0.00083995</x:v>
      </x:c>
      <x:c r="R55" t="str">
        <x:v>Accepted</x:v>
      </x:c>
      <x:c r="S55" t="n">
        <x:v>22</x:v>
      </x:c>
      <x:c r="T55" t="n">
        <x:v>19</x:v>
      </x:c>
      <x:c r="U55" t="n">
        <x:v>59.272727273</x:v>
      </x:c>
      <x:c r="V55" t="n">
        <x:v>68.631578947</x:v>
      </x:c>
      <x:c r="W55" t="n">
        <x:v>81</x:v>
      </x:c>
      <x:c r="X55" t="n">
        <x:v>26.421052632</x:v>
      </x:c>
      <x:c r="Y55" t="n">
        <x:v>28</x:v>
      </x:c>
    </x:row>
    <x:row r="56">
      <x:c r="A56" t="str">
        <x:v>w2_v128</x:v>
      </x:c>
      <x:c r="B56" t="n">
        <x:v>2</x:v>
      </x:c>
      <x:c r="C56" t="n">
        <x:v>128</x:v>
      </x:c>
      <x:c r="D56" t="n">
        <x:v>5</x:v>
      </x:c>
      <x:c r="E56" t="n">
        <x:v>373138</x:v>
      </x:c>
      <x:c r="F56" t="n">
        <x:v>54</x:v>
      </x:c>
      <x:c r="G56" t="str">
        <x:v>ng-dgx-m0-09.cloud.r-ccs.riken.jp</x:v>
      </x:c>
      <x:c r="H56" t="str">
        <x:v>NVIDIA GB10</x:v>
      </x:c>
      <x:c r="I56" t="n">
        <x:v>0</x:v>
      </x:c>
      <x:c r="J56" t="n">
        <x:v>20.78</x:v>
      </x:c>
      <x:c r="K56" t="n">
        <x:v>20.79</x:v>
      </x:c>
      <x:c r="L56" t="n">
        <x:v>21.21</x:v>
      </x:c>
      <x:c r="M56" t="n">
        <x:v>21.71</x:v>
      </x:c>
      <x:c r="N56" t="n">
        <x:v>376436</x:v>
      </x:c>
      <x:c r="O56" t="n">
        <x:v>0.625129946975</x:v>
      </x:c>
      <x:c r="P56" t="n">
        <x:v>0.622916188574</x:v>
      </x:c>
      <x:c r="Q56" t="n">
        <x:v>0.00083995</x:v>
      </x:c>
      <x:c r="R56" t="str">
        <x:v>Accepted</x:v>
      </x:c>
      <x:c r="S56" t="n">
        <x:v>22</x:v>
      </x:c>
      <x:c r="T56" t="n">
        <x:v>18</x:v>
      </x:c>
      <x:c r="U56" t="n">
        <x:v>55.772727273</x:v>
      </x:c>
      <x:c r="V56" t="n">
        <x:v>68.166666667</x:v>
      </x:c>
      <x:c r="W56" t="n">
        <x:v>81</x:v>
      </x:c>
      <x:c r="X56" t="n">
        <x:v>29.333333333</x:v>
      </x:c>
      <x:c r="Y56" t="n">
        <x:v>32</x:v>
      </x:c>
    </x:row>
    <x:row r="57">
      <x:c r="A57" t="str">
        <x:v>w2_v128</x:v>
      </x:c>
      <x:c r="B57" t="n">
        <x:v>2</x:v>
      </x:c>
      <x:c r="C57" t="n">
        <x:v>128</x:v>
      </x:c>
      <x:c r="D57" t="n">
        <x:v>6</x:v>
      </x:c>
      <x:c r="E57" t="n">
        <x:v>373138</x:v>
      </x:c>
      <x:c r="F57" t="n">
        <x:v>55</x:v>
      </x:c>
      <x:c r="G57" t="str">
        <x:v>ng-dgx-m0-08.cloud.r-ccs.riken.jp</x:v>
      </x:c>
      <x:c r="H57" t="str">
        <x:v>NVIDIA GB10</x:v>
      </x:c>
      <x:c r="I57" t="n">
        <x:v>0</x:v>
      </x:c>
      <x:c r="J57" t="n">
        <x:v>20.73</x:v>
      </x:c>
      <x:c r="K57" t="n">
        <x:v>20.75</x:v>
      </x:c>
      <x:c r="L57" t="n">
        <x:v>21.14</x:v>
      </x:c>
      <x:c r="M57" t="n">
        <x:v>21.68</x:v>
      </x:c>
      <x:c r="N57" t="n">
        <x:v>376668</x:v>
      </x:c>
      <x:c r="O57" t="n">
        <x:v>0.625129946975</x:v>
      </x:c>
      <x:c r="P57" t="n">
        <x:v>0.622916188574</x:v>
      </x:c>
      <x:c r="Q57" t="n">
        <x:v>0.00083995</x:v>
      </x:c>
      <x:c r="R57" t="str">
        <x:v>Accepted</x:v>
      </x:c>
      <x:c r="S57" t="n">
        <x:v>23</x:v>
      </x:c>
      <x:c r="T57" t="n">
        <x:v>19</x:v>
      </x:c>
      <x:c r="U57" t="n">
        <x:v>52.347826087</x:v>
      </x:c>
      <x:c r="V57" t="n">
        <x:v>63.368421053</x:v>
      </x:c>
      <x:c r="W57" t="n">
        <x:v>81</x:v>
      </x:c>
      <x:c r="X57" t="n">
        <x:v>26.631578947</x:v>
      </x:c>
      <x:c r="Y57" t="n">
        <x:v>29</x:v>
      </x:c>
    </x:row>
    <x:row r="58">
      <x:c r="A58" t="str">
        <x:v>w2_v128</x:v>
      </x:c>
      <x:c r="B58" t="n">
        <x:v>2</x:v>
      </x:c>
      <x:c r="C58" t="n">
        <x:v>128</x:v>
      </x:c>
      <x:c r="D58" t="n">
        <x:v>7</x:v>
      </x:c>
      <x:c r="E58" t="n">
        <x:v>373138</x:v>
      </x:c>
      <x:c r="F58" t="n">
        <x:v>56</x:v>
      </x:c>
      <x:c r="G58" t="str">
        <x:v>ng-dgx-m0-09.cloud.r-ccs.riken.jp</x:v>
      </x:c>
      <x:c r="H58" t="str">
        <x:v>NVIDIA GB10</x:v>
      </x:c>
      <x:c r="I58" t="n">
        <x:v>0</x:v>
      </x:c>
      <x:c r="J58" t="n">
        <x:v>20.14</x:v>
      </x:c>
      <x:c r="K58" t="n">
        <x:v>20.15</x:v>
      </x:c>
      <x:c r="L58" t="n">
        <x:v>20.55</x:v>
      </x:c>
      <x:c r="M58" t="n">
        <x:v>21.07</x:v>
      </x:c>
      <x:c r="N58" t="n">
        <x:v>376548</x:v>
      </x:c>
      <x:c r="O58" t="n">
        <x:v>0.625129946975</x:v>
      </x:c>
      <x:c r="P58" t="n">
        <x:v>0.622916188574</x:v>
      </x:c>
      <x:c r="Q58" t="n">
        <x:v>0.00083995</x:v>
      </x:c>
      <x:c r="R58" t="str">
        <x:v>Accepted</x:v>
      </x:c>
      <x:c r="S58" t="n">
        <x:v>21</x:v>
      </x:c>
      <x:c r="T58" t="n">
        <x:v>17</x:v>
      </x:c>
      <x:c r="U58" t="n">
        <x:v>57.428571429</x:v>
      </x:c>
      <x:c r="V58" t="n">
        <x:v>70.941176471</x:v>
      </x:c>
      <x:c r="W58" t="n">
        <x:v>80</x:v>
      </x:c>
      <x:c r="X58" t="n">
        <x:v>29.823529412</x:v>
      </x:c>
      <x:c r="Y58" t="n">
        <x:v>32</x:v>
      </x:c>
    </x:row>
    <x:row r="59">
      <x:c r="A59" t="str">
        <x:v>w2_v128</x:v>
      </x:c>
      <x:c r="B59" t="n">
        <x:v>2</x:v>
      </x:c>
      <x:c r="C59" t="n">
        <x:v>128</x:v>
      </x:c>
      <x:c r="D59" t="n">
        <x:v>8</x:v>
      </x:c>
      <x:c r="E59" t="n">
        <x:v>373138</x:v>
      </x:c>
      <x:c r="F59" t="n">
        <x:v>57</x:v>
      </x:c>
      <x:c r="G59" t="str">
        <x:v>ng-dgx-m0-08.cloud.r-ccs.riken.jp</x:v>
      </x:c>
      <x:c r="H59" t="str">
        <x:v>NVIDIA GB10</x:v>
      </x:c>
      <x:c r="I59" t="n">
        <x:v>0</x:v>
      </x:c>
      <x:c r="J59" t="n">
        <x:v>20.6</x:v>
      </x:c>
      <x:c r="K59" t="n">
        <x:v>20.64</x:v>
      </x:c>
      <x:c r="L59" t="n">
        <x:v>21.03</x:v>
      </x:c>
      <x:c r="M59" t="n">
        <x:v>21.55</x:v>
      </x:c>
      <x:c r="N59" t="n">
        <x:v>376988</x:v>
      </x:c>
      <x:c r="O59" t="n">
        <x:v>0.625129946975</x:v>
      </x:c>
      <x:c r="P59" t="n">
        <x:v>0.622916188574</x:v>
      </x:c>
      <x:c r="Q59" t="n">
        <x:v>0.00083995</x:v>
      </x:c>
      <x:c r="R59" t="str">
        <x:v>Accepted</x:v>
      </x:c>
      <x:c r="S59" t="n">
        <x:v>23</x:v>
      </x:c>
      <x:c r="T59" t="n">
        <x:v>20</x:v>
      </x:c>
      <x:c r="U59" t="n">
        <x:v>56.869565217</x:v>
      </x:c>
      <x:c r="V59" t="n">
        <x:v>65.4</x:v>
      </x:c>
      <x:c r="W59" t="n">
        <x:v>81</x:v>
      </x:c>
      <x:c r="X59" t="n">
        <x:v>26.5</x:v>
      </x:c>
      <x:c r="Y59" t="n">
        <x:v>29</x:v>
      </x:c>
    </x:row>
    <x:row r="60">
      <x:c r="A60" t="str">
        <x:v>w2_v128</x:v>
      </x:c>
      <x:c r="B60" t="n">
        <x:v>2</x:v>
      </x:c>
      <x:c r="C60" t="n">
        <x:v>128</x:v>
      </x:c>
      <x:c r="D60" t="n">
        <x:v>9</x:v>
      </x:c>
      <x:c r="E60" t="n">
        <x:v>373138</x:v>
      </x:c>
      <x:c r="F60" t="n">
        <x:v>58</x:v>
      </x:c>
      <x:c r="G60" t="str">
        <x:v>ng-dgx-m0-09.cloud.r-ccs.riken.jp</x:v>
      </x:c>
      <x:c r="H60" t="str">
        <x:v>NVIDIA GB10</x:v>
      </x:c>
      <x:c r="I60" t="n">
        <x:v>0</x:v>
      </x:c>
      <x:c r="J60" t="n">
        <x:v>20.69</x:v>
      </x:c>
      <x:c r="K60" t="n">
        <x:v>20.7</x:v>
      </x:c>
      <x:c r="L60" t="n">
        <x:v>21.11</x:v>
      </x:c>
      <x:c r="M60" t="n">
        <x:v>21.63</x:v>
      </x:c>
      <x:c r="N60" t="n">
        <x:v>376612</x:v>
      </x:c>
      <x:c r="O60" t="n">
        <x:v>0.625129946975</x:v>
      </x:c>
      <x:c r="P60" t="n">
        <x:v>0.622916188574</x:v>
      </x:c>
      <x:c r="Q60" t="n">
        <x:v>0.00083995</x:v>
      </x:c>
      <x:c r="R60" t="str">
        <x:v>Accepted</x:v>
      </x:c>
      <x:c r="S60" t="n">
        <x:v>22</x:v>
      </x:c>
      <x:c r="T60" t="n">
        <x:v>20</x:v>
      </x:c>
      <x:c r="U60" t="n">
        <x:v>59.5</x:v>
      </x:c>
      <x:c r="V60" t="n">
        <x:v>65.45</x:v>
      </x:c>
      <x:c r="W60" t="n">
        <x:v>81</x:v>
      </x:c>
      <x:c r="X60" t="n">
        <x:v>29.3</x:v>
      </x:c>
      <x:c r="Y60" t="n">
        <x:v>32</x:v>
      </x:c>
    </x:row>
    <x:row r="61">
      <x:c r="A61" t="str">
        <x:v>w2_v128</x:v>
      </x:c>
      <x:c r="B61" t="n">
        <x:v>2</x:v>
      </x:c>
      <x:c r="C61" t="n">
        <x:v>128</x:v>
      </x:c>
      <x:c r="D61" t="n">
        <x:v>10</x:v>
      </x:c>
      <x:c r="E61" t="n">
        <x:v>373138</x:v>
      </x:c>
      <x:c r="F61" t="n">
        <x:v>59</x:v>
      </x:c>
      <x:c r="G61" t="str">
        <x:v>ng-dgx-m0-08.cloud.r-ccs.riken.jp</x:v>
      </x:c>
      <x:c r="H61" t="str">
        <x:v>NVIDIA GB10</x:v>
      </x:c>
      <x:c r="I61" t="n">
        <x:v>0</x:v>
      </x:c>
      <x:c r="J61" t="n">
        <x:v>20.88</x:v>
      </x:c>
      <x:c r="K61" t="n">
        <x:v>20.89</x:v>
      </x:c>
      <x:c r="L61" t="n">
        <x:v>21.34</x:v>
      </x:c>
      <x:c r="M61" t="n">
        <x:v>21.86</x:v>
      </x:c>
      <x:c r="N61" t="n">
        <x:v>376884</x:v>
      </x:c>
      <x:c r="O61" t="n">
        <x:v>0.625129946975</x:v>
      </x:c>
      <x:c r="P61" t="n">
        <x:v>0.622916188574</x:v>
      </x:c>
      <x:c r="Q61" t="n">
        <x:v>0.00083995</x:v>
      </x:c>
      <x:c r="R61" t="str">
        <x:v>Accepted</x:v>
      </x:c>
      <x:c r="S61" t="n">
        <x:v>23</x:v>
      </x:c>
      <x:c r="T61" t="n">
        <x:v>20</x:v>
      </x:c>
      <x:c r="U61" t="n">
        <x:v>59.782608696</x:v>
      </x:c>
      <x:c r="V61" t="n">
        <x:v>68.75</x:v>
      </x:c>
      <x:c r="W61" t="n">
        <x:v>81</x:v>
      </x:c>
      <x:c r="X61" t="n">
        <x:v>26.2</x:v>
      </x:c>
      <x:c r="Y61" t="n">
        <x:v>29</x:v>
      </x:c>
    </x:row>
    <x:row r="62">
      <x:c r="A62" t="str">
        <x:v>w4_v32</x:v>
      </x:c>
      <x:c r="B62" t="n">
        <x:v>4</x:v>
      </x:c>
      <x:c r="C62" t="n">
        <x:v>32</x:v>
      </x:c>
      <x:c r="D62" t="n">
        <x:v>1</x:v>
      </x:c>
      <x:c r="E62" t="n">
        <x:v>373138</x:v>
      </x:c>
      <x:c r="F62" t="n">
        <x:v>60</x:v>
      </x:c>
      <x:c r="G62" t="str">
        <x:v>ng-dgx-m0-09.cloud.r-ccs.riken.jp</x:v>
      </x:c>
      <x:c r="H62" t="str">
        <x:v>NVIDIA GB10</x:v>
      </x:c>
      <x:c r="I62" t="n">
        <x:v>0</x:v>
      </x:c>
      <x:c r="J62" t="n">
        <x:v>19.67</x:v>
      </x:c>
      <x:c r="K62" t="n">
        <x:v>19.68</x:v>
      </x:c>
      <x:c r="L62" t="n">
        <x:v>20.09</x:v>
      </x:c>
      <x:c r="M62" t="n">
        <x:v>20.63</x:v>
      </x:c>
      <x:c r="N62" t="n">
        <x:v>376640</x:v>
      </x:c>
      <x:c r="O62" t="n">
        <x:v>0.625129946975</x:v>
      </x:c>
      <x:c r="P62" t="n">
        <x:v>0.622916188574</x:v>
      </x:c>
      <x:c r="Q62" t="n">
        <x:v>0.00083995</x:v>
      </x:c>
      <x:c r="R62" t="str">
        <x:v>Accepted</x:v>
      </x:c>
      <x:c r="S62" t="n">
        <x:v>21</x:v>
      </x:c>
      <x:c r="T62" t="n">
        <x:v>18</x:v>
      </x:c>
      <x:c r="U62" t="n">
        <x:v>54.047619048</x:v>
      </x:c>
      <x:c r="V62" t="n">
        <x:v>63.055555556</x:v>
      </x:c>
      <x:c r="W62" t="n">
        <x:v>80</x:v>
      </x:c>
      <x:c r="X62" t="n">
        <x:v>30.111111111</x:v>
      </x:c>
      <x:c r="Y62" t="n">
        <x:v>33</x:v>
      </x:c>
    </x:row>
    <x:row r="63">
      <x:c r="A63" t="str">
        <x:v>w4_v32</x:v>
      </x:c>
      <x:c r="B63" t="n">
        <x:v>4</x:v>
      </x:c>
      <x:c r="C63" t="n">
        <x:v>32</x:v>
      </x:c>
      <x:c r="D63" t="n">
        <x:v>2</x:v>
      </x:c>
      <x:c r="E63" t="n">
        <x:v>373138</x:v>
      </x:c>
      <x:c r="F63" t="n">
        <x:v>61</x:v>
      </x:c>
      <x:c r="G63" t="str">
        <x:v>ng-dgx-m0-08.cloud.r-ccs.riken.jp</x:v>
      </x:c>
      <x:c r="H63" t="str">
        <x:v>NVIDIA GB10</x:v>
      </x:c>
      <x:c r="I63" t="n">
        <x:v>0</x:v>
      </x:c>
      <x:c r="J63" t="n">
        <x:v>20.13</x:v>
      </x:c>
      <x:c r="K63" t="n">
        <x:v>20.15</x:v>
      </x:c>
      <x:c r="L63" t="n">
        <x:v>20.55</x:v>
      </x:c>
      <x:c r="M63" t="n">
        <x:v>21.13</x:v>
      </x:c>
      <x:c r="N63" t="n">
        <x:v>376948</x:v>
      </x:c>
      <x:c r="O63" t="n">
        <x:v>0.625129946975</x:v>
      </x:c>
      <x:c r="P63" t="n">
        <x:v>0.622916188574</x:v>
      </x:c>
      <x:c r="Q63" t="n">
        <x:v>0.00083995</x:v>
      </x:c>
      <x:c r="R63" t="str">
        <x:v>Accepted</x:v>
      </x:c>
      <x:c r="S63" t="n">
        <x:v>22</x:v>
      </x:c>
      <x:c r="T63" t="n">
        <x:v>20</x:v>
      </x:c>
      <x:c r="U63" t="n">
        <x:v>53.5</x:v>
      </x:c>
      <x:c r="V63" t="n">
        <x:v>58.85</x:v>
      </x:c>
      <x:c r="W63" t="n">
        <x:v>81</x:v>
      </x:c>
      <x:c r="X63" t="n">
        <x:v>26.5</x:v>
      </x:c>
      <x:c r="Y63" t="n">
        <x:v>29</x:v>
      </x:c>
    </x:row>
    <x:row r="64">
      <x:c r="A64" t="str">
        <x:v>w4_v32</x:v>
      </x:c>
      <x:c r="B64" t="n">
        <x:v>4</x:v>
      </x:c>
      <x:c r="C64" t="n">
        <x:v>32</x:v>
      </x:c>
      <x:c r="D64" t="n">
        <x:v>3</x:v>
      </x:c>
      <x:c r="E64" t="n">
        <x:v>373138</x:v>
      </x:c>
      <x:c r="F64" t="n">
        <x:v>62</x:v>
      </x:c>
      <x:c r="G64" t="str">
        <x:v>ng-dgx-m0-09.cloud.r-ccs.riken.jp</x:v>
      </x:c>
      <x:c r="H64" t="str">
        <x:v>NVIDIA GB10</x:v>
      </x:c>
      <x:c r="I64" t="n">
        <x:v>0</x:v>
      </x:c>
      <x:c r="J64" t="n">
        <x:v>19.92</x:v>
      </x:c>
      <x:c r="K64" t="n">
        <x:v>19.93</x:v>
      </x:c>
      <x:c r="L64" t="n">
        <x:v>20.39</x:v>
      </x:c>
      <x:c r="M64" t="n">
        <x:v>20.93</x:v>
      </x:c>
      <x:c r="N64" t="n">
        <x:v>376500</x:v>
      </x:c>
      <x:c r="O64" t="n">
        <x:v>0.625129946975</x:v>
      </x:c>
      <x:c r="P64" t="n">
        <x:v>0.622916188574</x:v>
      </x:c>
      <x:c r="Q64" t="n">
        <x:v>0.00083995</x:v>
      </x:c>
      <x:c r="R64" t="str">
        <x:v>Accepted</x:v>
      </x:c>
      <x:c r="S64" t="n">
        <x:v>21</x:v>
      </x:c>
      <x:c r="T64" t="n">
        <x:v>19</x:v>
      </x:c>
      <x:c r="U64" t="n">
        <x:v>56.714285714</x:v>
      </x:c>
      <x:c r="V64" t="n">
        <x:v>62.684210526</x:v>
      </x:c>
      <x:c r="W64" t="n">
        <x:v>80</x:v>
      </x:c>
      <x:c r="X64" t="n">
        <x:v>29.789473684</x:v>
      </x:c>
      <x:c r="Y64" t="n">
        <x:v>33</x:v>
      </x:c>
    </x:row>
    <x:row r="65">
      <x:c r="A65" t="str">
        <x:v>w4_v32</x:v>
      </x:c>
      <x:c r="B65" t="n">
        <x:v>4</x:v>
      </x:c>
      <x:c r="C65" t="n">
        <x:v>32</x:v>
      </x:c>
      <x:c r="D65" t="n">
        <x:v>4</x:v>
      </x:c>
      <x:c r="E65" t="n">
        <x:v>373138</x:v>
      </x:c>
      <x:c r="F65" t="n">
        <x:v>63</x:v>
      </x:c>
      <x:c r="G65" t="str">
        <x:v>ng-dgx-m0-08.cloud.r-ccs.riken.jp</x:v>
      </x:c>
      <x:c r="H65" t="str">
        <x:v>NVIDIA GB10</x:v>
      </x:c>
      <x:c r="I65" t="n">
        <x:v>0</x:v>
      </x:c>
      <x:c r="J65" t="n">
        <x:v>20.02</x:v>
      </x:c>
      <x:c r="K65" t="n">
        <x:v>20.03</x:v>
      </x:c>
      <x:c r="L65" t="n">
        <x:v>20.47</x:v>
      </x:c>
      <x:c r="M65" t="n">
        <x:v>21.02</x:v>
      </x:c>
      <x:c r="N65" t="n">
        <x:v>377004</x:v>
      </x:c>
      <x:c r="O65" t="n">
        <x:v>0.625129946975</x:v>
      </x:c>
      <x:c r="P65" t="n">
        <x:v>0.622916188574</x:v>
      </x:c>
      <x:c r="Q65" t="n">
        <x:v>0.00083995</x:v>
      </x:c>
      <x:c r="R65" t="str">
        <x:v>Accepted</x:v>
      </x:c>
      <x:c r="S65" t="n">
        <x:v>22</x:v>
      </x:c>
      <x:c r="T65" t="n">
        <x:v>19</x:v>
      </x:c>
      <x:c r="U65" t="n">
        <x:v>51.818181818</x:v>
      </x:c>
      <x:c r="V65" t="n">
        <x:v>60</x:v>
      </x:c>
      <x:c r="W65" t="n">
        <x:v>80</x:v>
      </x:c>
      <x:c r="X65" t="n">
        <x:v>26.631578947</x:v>
      </x:c>
      <x:c r="Y65" t="n">
        <x:v>30</x:v>
      </x:c>
    </x:row>
    <x:row r="66">
      <x:c r="A66" t="str">
        <x:v>w4_v32</x:v>
      </x:c>
      <x:c r="B66" t="n">
        <x:v>4</x:v>
      </x:c>
      <x:c r="C66" t="n">
        <x:v>32</x:v>
      </x:c>
      <x:c r="D66" t="n">
        <x:v>5</x:v>
      </x:c>
      <x:c r="E66" t="n">
        <x:v>373138</x:v>
      </x:c>
      <x:c r="F66" t="n">
        <x:v>64</x:v>
      </x:c>
      <x:c r="G66" t="str">
        <x:v>ng-dgx-m0-09.cloud.r-ccs.riken.jp</x:v>
      </x:c>
      <x:c r="H66" t="str">
        <x:v>NVIDIA GB10</x:v>
      </x:c>
      <x:c r="I66" t="n">
        <x:v>0</x:v>
      </x:c>
      <x:c r="J66" t="n">
        <x:v>19.62</x:v>
      </x:c>
      <x:c r="K66" t="n">
        <x:v>19.63</x:v>
      </x:c>
      <x:c r="L66" t="n">
        <x:v>20.06</x:v>
      </x:c>
      <x:c r="M66" t="n">
        <x:v>20.59</x:v>
      </x:c>
      <x:c r="N66" t="n">
        <x:v>376392</x:v>
      </x:c>
      <x:c r="O66" t="n">
        <x:v>0.625129946975</x:v>
      </x:c>
      <x:c r="P66" t="n">
        <x:v>0.622916188574</x:v>
      </x:c>
      <x:c r="Q66" t="n">
        <x:v>0.00083995</x:v>
      </x:c>
      <x:c r="R66" t="str">
        <x:v>Accepted</x:v>
      </x:c>
      <x:c r="S66" t="n">
        <x:v>21</x:v>
      </x:c>
      <x:c r="T66" t="n">
        <x:v>18</x:v>
      </x:c>
      <x:c r="U66" t="n">
        <x:v>55.904761905</x:v>
      </x:c>
      <x:c r="V66" t="n">
        <x:v>65.222222222</x:v>
      </x:c>
      <x:c r="W66" t="n">
        <x:v>80</x:v>
      </x:c>
      <x:c r="X66" t="n">
        <x:v>30.111111111</x:v>
      </x:c>
      <x:c r="Y66" t="n">
        <x:v>33</x:v>
      </x:c>
    </x:row>
    <x:row r="67">
      <x:c r="A67" t="str">
        <x:v>w4_v32</x:v>
      </x:c>
      <x:c r="B67" t="n">
        <x:v>4</x:v>
      </x:c>
      <x:c r="C67" t="n">
        <x:v>32</x:v>
      </x:c>
      <x:c r="D67" t="n">
        <x:v>6</x:v>
      </x:c>
      <x:c r="E67" t="n">
        <x:v>373138</x:v>
      </x:c>
      <x:c r="F67" t="n">
        <x:v>65</x:v>
      </x:c>
      <x:c r="G67" t="str">
        <x:v>ng-dgx-m0-08.cloud.r-ccs.riken.jp</x:v>
      </x:c>
      <x:c r="H67" t="str">
        <x:v>NVIDIA GB10</x:v>
      </x:c>
      <x:c r="I67" t="n">
        <x:v>0</x:v>
      </x:c>
      <x:c r="J67" t="n">
        <x:v>20.71</x:v>
      </x:c>
      <x:c r="K67" t="n">
        <x:v>20.72</x:v>
      </x:c>
      <x:c r="L67" t="n">
        <x:v>21.17</x:v>
      </x:c>
      <x:c r="M67" t="n">
        <x:v>21.78</x:v>
      </x:c>
      <x:c r="N67" t="n">
        <x:v>376904</x:v>
      </x:c>
      <x:c r="O67" t="n">
        <x:v>0.625129946975</x:v>
      </x:c>
      <x:c r="P67" t="n">
        <x:v>0.622916188574</x:v>
      </x:c>
      <x:c r="Q67" t="n">
        <x:v>0.00083995</x:v>
      </x:c>
      <x:c r="R67" t="str">
        <x:v>Accepted</x:v>
      </x:c>
      <x:c r="S67" t="n">
        <x:v>22</x:v>
      </x:c>
      <x:c r="T67" t="n">
        <x:v>20</x:v>
      </x:c>
      <x:c r="U67" t="n">
        <x:v>56.954545455</x:v>
      </x:c>
      <x:c r="V67" t="n">
        <x:v>62.65</x:v>
      </x:c>
      <x:c r="W67" t="n">
        <x:v>80</x:v>
      </x:c>
      <x:c r="X67" t="n">
        <x:v>26.45</x:v>
      </x:c>
      <x:c r="Y67" t="n">
        <x:v>29</x:v>
      </x:c>
    </x:row>
    <x:row r="68">
      <x:c r="A68" t="str">
        <x:v>w4_v32</x:v>
      </x:c>
      <x:c r="B68" t="n">
        <x:v>4</x:v>
      </x:c>
      <x:c r="C68" t="n">
        <x:v>32</x:v>
      </x:c>
      <x:c r="D68" t="n">
        <x:v>7</x:v>
      </x:c>
      <x:c r="E68" t="n">
        <x:v>373138</x:v>
      </x:c>
      <x:c r="F68" t="n">
        <x:v>66</x:v>
      </x:c>
      <x:c r="G68" t="str">
        <x:v>ng-dgx-m0-09.cloud.r-ccs.riken.jp</x:v>
      </x:c>
      <x:c r="H68" t="str">
        <x:v>NVIDIA GB10</x:v>
      </x:c>
      <x:c r="I68" t="n">
        <x:v>0</x:v>
      </x:c>
      <x:c r="J68" t="n">
        <x:v>20.25</x:v>
      </x:c>
      <x:c r="K68" t="n">
        <x:v>20.27</x:v>
      </x:c>
      <x:c r="L68" t="n">
        <x:v>20.73</x:v>
      </x:c>
      <x:c r="M68" t="n">
        <x:v>21.26</x:v>
      </x:c>
      <x:c r="N68" t="n">
        <x:v>376452</x:v>
      </x:c>
      <x:c r="O68" t="n">
        <x:v>0.625129946975</x:v>
      </x:c>
      <x:c r="P68" t="n">
        <x:v>0.622916188574</x:v>
      </x:c>
      <x:c r="Q68" t="n">
        <x:v>0.00083995</x:v>
      </x:c>
      <x:c r="R68" t="str">
        <x:v>Accepted</x:v>
      </x:c>
      <x:c r="S68" t="n">
        <x:v>22</x:v>
      </x:c>
      <x:c r="T68" t="n">
        <x:v>19</x:v>
      </x:c>
      <x:c r="U68" t="n">
        <x:v>54.590909091</x:v>
      </x:c>
      <x:c r="V68" t="n">
        <x:v>63.210526316</x:v>
      </x:c>
      <x:c r="W68" t="n">
        <x:v>80</x:v>
      </x:c>
      <x:c r="X68" t="n">
        <x:v>29.578947368</x:v>
      </x:c>
      <x:c r="Y68" t="n">
        <x:v>32</x:v>
      </x:c>
    </x:row>
    <x:row r="69">
      <x:c r="A69" t="str">
        <x:v>w4_v32</x:v>
      </x:c>
      <x:c r="B69" t="n">
        <x:v>4</x:v>
      </x:c>
      <x:c r="C69" t="n">
        <x:v>32</x:v>
      </x:c>
      <x:c r="D69" t="n">
        <x:v>8</x:v>
      </x:c>
      <x:c r="E69" t="n">
        <x:v>373138</x:v>
      </x:c>
      <x:c r="F69" t="n">
        <x:v>67</x:v>
      </x:c>
      <x:c r="G69" t="str">
        <x:v>ng-dgx-m0-08.cloud.r-ccs.riken.jp</x:v>
      </x:c>
      <x:c r="H69" t="str">
        <x:v>NVIDIA GB10</x:v>
      </x:c>
      <x:c r="I69" t="n">
        <x:v>0</x:v>
      </x:c>
      <x:c r="J69" t="n">
        <x:v>20.08</x:v>
      </x:c>
      <x:c r="K69" t="n">
        <x:v>20.1</x:v>
      </x:c>
      <x:c r="L69" t="n">
        <x:v>20.54</x:v>
      </x:c>
      <x:c r="M69" t="n">
        <x:v>21.09</x:v>
      </x:c>
      <x:c r="N69" t="n">
        <x:v>376780</x:v>
      </x:c>
      <x:c r="O69" t="n">
        <x:v>0.625129946975</x:v>
      </x:c>
      <x:c r="P69" t="n">
        <x:v>0.622916188574</x:v>
      </x:c>
      <x:c r="Q69" t="n">
        <x:v>0.00083995</x:v>
      </x:c>
      <x:c r="R69" t="str">
        <x:v>Accepted</x:v>
      </x:c>
      <x:c r="S69" t="n">
        <x:v>22</x:v>
      </x:c>
      <x:c r="T69" t="n">
        <x:v>19</x:v>
      </x:c>
      <x:c r="U69" t="n">
        <x:v>52.136363636</x:v>
      </x:c>
      <x:c r="V69" t="n">
        <x:v>60.368421053</x:v>
      </x:c>
      <x:c r="W69" t="n">
        <x:v>81</x:v>
      </x:c>
      <x:c r="X69" t="n">
        <x:v>26.789473684</x:v>
      </x:c>
      <x:c r="Y69" t="n">
        <x:v>29</x:v>
      </x:c>
    </x:row>
    <x:row r="70">
      <x:c r="A70" t="str">
        <x:v>w4_v32</x:v>
      </x:c>
      <x:c r="B70" t="n">
        <x:v>4</x:v>
      </x:c>
      <x:c r="C70" t="n">
        <x:v>32</x:v>
      </x:c>
      <x:c r="D70" t="n">
        <x:v>9</x:v>
      </x:c>
      <x:c r="E70" t="n">
        <x:v>373138</x:v>
      </x:c>
      <x:c r="F70" t="n">
        <x:v>68</x:v>
      </x:c>
      <x:c r="G70" t="str">
        <x:v>ng-dgx-m0-09.cloud.r-ccs.riken.jp</x:v>
      </x:c>
      <x:c r="H70" t="str">
        <x:v>NVIDIA GB10</x:v>
      </x:c>
      <x:c r="I70" t="n">
        <x:v>0</x:v>
      </x:c>
      <x:c r="J70" t="n">
        <x:v>19.54</x:v>
      </x:c>
      <x:c r="K70" t="n">
        <x:v>19.55</x:v>
      </x:c>
      <x:c r="L70" t="n">
        <x:v>19.95</x:v>
      </x:c>
      <x:c r="M70" t="n">
        <x:v>20.47</x:v>
      </x:c>
      <x:c r="N70" t="n">
        <x:v>376672</x:v>
      </x:c>
      <x:c r="O70" t="n">
        <x:v>0.625129946975</x:v>
      </x:c>
      <x:c r="P70" t="n">
        <x:v>0.622916188574</x:v>
      </x:c>
      <x:c r="Q70" t="n">
        <x:v>0.00083995</x:v>
      </x:c>
      <x:c r="R70" t="str">
        <x:v>Accepted</x:v>
      </x:c>
      <x:c r="S70" t="n">
        <x:v>21</x:v>
      </x:c>
      <x:c r="T70" t="n">
        <x:v>18</x:v>
      </x:c>
      <x:c r="U70" t="n">
        <x:v>57.714285714</x:v>
      </x:c>
      <x:c r="V70" t="n">
        <x:v>67.333333333</x:v>
      </x:c>
      <x:c r="W70" t="n">
        <x:v>80</x:v>
      </x:c>
      <x:c r="X70" t="n">
        <x:v>30.444444444</x:v>
      </x:c>
      <x:c r="Y70" t="n">
        <x:v>33</x:v>
      </x:c>
    </x:row>
    <x:row r="71">
      <x:c r="A71" t="str">
        <x:v>w4_v32</x:v>
      </x:c>
      <x:c r="B71" t="n">
        <x:v>4</x:v>
      </x:c>
      <x:c r="C71" t="n">
        <x:v>32</x:v>
      </x:c>
      <x:c r="D71" t="n">
        <x:v>10</x:v>
      </x:c>
      <x:c r="E71" t="n">
        <x:v>373138</x:v>
      </x:c>
      <x:c r="F71" t="n">
        <x:v>69</x:v>
      </x:c>
      <x:c r="G71" t="str">
        <x:v>ng-dgx-m0-08.cloud.r-ccs.riken.jp</x:v>
      </x:c>
      <x:c r="H71" t="str">
        <x:v>NVIDIA GB10</x:v>
      </x:c>
      <x:c r="I71" t="n">
        <x:v>0</x:v>
      </x:c>
      <x:c r="J71" t="n">
        <x:v>20.31</x:v>
      </x:c>
      <x:c r="K71" t="n">
        <x:v>20.32</x:v>
      </x:c>
      <x:c r="L71" t="n">
        <x:v>20.71</x:v>
      </x:c>
      <x:c r="M71" t="n">
        <x:v>21.31</x:v>
      </x:c>
      <x:c r="N71" t="n">
        <x:v>376964</x:v>
      </x:c>
      <x:c r="O71" t="n">
        <x:v>0.625129946975</x:v>
      </x:c>
      <x:c r="P71" t="n">
        <x:v>0.622916188574</x:v>
      </x:c>
      <x:c r="Q71" t="n">
        <x:v>0.00083995</x:v>
      </x:c>
      <x:c r="R71" t="str">
        <x:v>Accepted</x:v>
      </x:c>
      <x:c r="S71" t="n">
        <x:v>23</x:v>
      </x:c>
      <x:c r="T71" t="n">
        <x:v>18</x:v>
      </x:c>
      <x:c r="U71" t="n">
        <x:v>53.565217391</x:v>
      </x:c>
      <x:c r="V71" t="n">
        <x:v>68.444444444</x:v>
      </x:c>
      <x:c r="W71" t="n">
        <x:v>81</x:v>
      </x:c>
      <x:c r="X71" t="n">
        <x:v>26.833333333</x:v>
      </x:c>
      <x:c r="Y71" t="n">
        <x:v>29</x:v>
      </x:c>
    </x:row>
    <x:row r="72">
      <x:c r="A72" t="str">
        <x:v>w4_v64</x:v>
      </x:c>
      <x:c r="B72" t="n">
        <x:v>4</x:v>
      </x:c>
      <x:c r="C72" t="n">
        <x:v>64</x:v>
      </x:c>
      <x:c r="D72" t="n">
        <x:v>1</x:v>
      </x:c>
      <x:c r="E72" t="n">
        <x:v>373138</x:v>
      </x:c>
      <x:c r="F72" t="n">
        <x:v>70</x:v>
      </x:c>
      <x:c r="G72" t="str">
        <x:v>ng-dgx-m0-09.cloud.r-ccs.riken.jp</x:v>
      </x:c>
      <x:c r="H72" t="str">
        <x:v>NVIDIA GB10</x:v>
      </x:c>
      <x:c r="I72" t="n">
        <x:v>0</x:v>
      </x:c>
      <x:c r="J72" t="n">
        <x:v>20.62</x:v>
      </x:c>
      <x:c r="K72" t="n">
        <x:v>20.63</x:v>
      </x:c>
      <x:c r="L72" t="n">
        <x:v>21.03</x:v>
      </x:c>
      <x:c r="M72" t="n">
        <x:v>21.54</x:v>
      </x:c>
      <x:c r="N72" t="n">
        <x:v>376992</x:v>
      </x:c>
      <x:c r="O72" t="n">
        <x:v>0.625129946975</x:v>
      </x:c>
      <x:c r="P72" t="n">
        <x:v>0.622916188574</x:v>
      </x:c>
      <x:c r="Q72" t="n">
        <x:v>0.00083995</x:v>
      </x:c>
      <x:c r="R72" t="str">
        <x:v>Accepted</x:v>
      </x:c>
      <x:c r="S72" t="n">
        <x:v>22</x:v>
      </x:c>
      <x:c r="T72" t="n">
        <x:v>20</x:v>
      </x:c>
      <x:c r="U72" t="n">
        <x:v>57.318181818</x:v>
      </x:c>
      <x:c r="V72" t="n">
        <x:v>63.05</x:v>
      </x:c>
      <x:c r="W72" t="n">
        <x:v>81</x:v>
      </x:c>
      <x:c r="X72" t="n">
        <x:v>29.6</x:v>
      </x:c>
      <x:c r="Y72" t="n">
        <x:v>33</x:v>
      </x:c>
    </x:row>
    <x:row r="73">
      <x:c r="A73" t="str">
        <x:v>w4_v64</x:v>
      </x:c>
      <x:c r="B73" t="n">
        <x:v>4</x:v>
      </x:c>
      <x:c r="C73" t="n">
        <x:v>64</x:v>
      </x:c>
      <x:c r="D73" t="n">
        <x:v>2</x:v>
      </x:c>
      <x:c r="E73" t="n">
        <x:v>373138</x:v>
      </x:c>
      <x:c r="F73" t="n">
        <x:v>71</x:v>
      </x:c>
      <x:c r="G73" t="str">
        <x:v>ng-dgx-m0-08.cloud.r-ccs.riken.jp</x:v>
      </x:c>
      <x:c r="H73" t="str">
        <x:v>NVIDIA GB10</x:v>
      </x:c>
      <x:c r="I73" t="n">
        <x:v>0</x:v>
      </x:c>
      <x:c r="J73" t="n">
        <x:v>20.44</x:v>
      </x:c>
      <x:c r="K73" t="n">
        <x:v>20.46</x:v>
      </x:c>
      <x:c r="L73" t="n">
        <x:v>20.9</x:v>
      </x:c>
      <x:c r="M73" t="n">
        <x:v>21.49</x:v>
      </x:c>
      <x:c r="N73" t="n">
        <x:v>376924</x:v>
      </x:c>
      <x:c r="O73" t="n">
        <x:v>0.625129946975</x:v>
      </x:c>
      <x:c r="P73" t="n">
        <x:v>0.622916188574</x:v>
      </x:c>
      <x:c r="Q73" t="n">
        <x:v>0.00083995</x:v>
      </x:c>
      <x:c r="R73" t="str">
        <x:v>Accepted</x:v>
      </x:c>
      <x:c r="S73" t="n">
        <x:v>23</x:v>
      </x:c>
      <x:c r="T73" t="n">
        <x:v>20</x:v>
      </x:c>
      <x:c r="U73" t="n">
        <x:v>56.652173913</x:v>
      </x:c>
      <x:c r="V73" t="n">
        <x:v>65.15</x:v>
      </x:c>
      <x:c r="W73" t="n">
        <x:v>81</x:v>
      </x:c>
      <x:c r="X73" t="n">
        <x:v>26.15</x:v>
      </x:c>
      <x:c r="Y73" t="n">
        <x:v>29</x:v>
      </x:c>
    </x:row>
    <x:row r="74">
      <x:c r="A74" t="str">
        <x:v>w4_v64</x:v>
      </x:c>
      <x:c r="B74" t="n">
        <x:v>4</x:v>
      </x:c>
      <x:c r="C74" t="n">
        <x:v>64</x:v>
      </x:c>
      <x:c r="D74" t="n">
        <x:v>3</x:v>
      </x:c>
      <x:c r="E74" t="n">
        <x:v>373138</x:v>
      </x:c>
      <x:c r="F74" t="n">
        <x:v>72</x:v>
      </x:c>
      <x:c r="G74" t="str">
        <x:v>ng-dgx-m0-09.cloud.r-ccs.riken.jp</x:v>
      </x:c>
      <x:c r="H74" t="str">
        <x:v>NVIDIA GB10</x:v>
      </x:c>
      <x:c r="I74" t="n">
        <x:v>0</x:v>
      </x:c>
      <x:c r="J74" t="n">
        <x:v>20.26</x:v>
      </x:c>
      <x:c r="K74" t="n">
        <x:v>20.28</x:v>
      </x:c>
      <x:c r="L74" t="n">
        <x:v>20.68</x:v>
      </x:c>
      <x:c r="M74" t="n">
        <x:v>21.19</x:v>
      </x:c>
      <x:c r="N74" t="n">
        <x:v>376608</x:v>
      </x:c>
      <x:c r="O74" t="n">
        <x:v>0.625129946975</x:v>
      </x:c>
      <x:c r="P74" t="n">
        <x:v>0.622916188574</x:v>
      </x:c>
      <x:c r="Q74" t="n">
        <x:v>0.00083995</x:v>
      </x:c>
      <x:c r="R74" t="str">
        <x:v>Accepted</x:v>
      </x:c>
      <x:c r="S74" t="n">
        <x:v>22</x:v>
      </x:c>
      <x:c r="T74" t="n">
        <x:v>20</x:v>
      </x:c>
      <x:c r="U74" t="n">
        <x:v>56.272727273</x:v>
      </x:c>
      <x:c r="V74" t="n">
        <x:v>61.9</x:v>
      </x:c>
      <x:c r="W74" t="n">
        <x:v>80</x:v>
      </x:c>
      <x:c r="X74" t="n">
        <x:v>29.45</x:v>
      </x:c>
      <x:c r="Y74" t="n">
        <x:v>32</x:v>
      </x:c>
    </x:row>
    <x:row r="75">
      <x:c r="A75" t="str">
        <x:v>w4_v64</x:v>
      </x:c>
      <x:c r="B75" t="n">
        <x:v>4</x:v>
      </x:c>
      <x:c r="C75" t="n">
        <x:v>64</x:v>
      </x:c>
      <x:c r="D75" t="n">
        <x:v>4</x:v>
      </x:c>
      <x:c r="E75" t="n">
        <x:v>373138</x:v>
      </x:c>
      <x:c r="F75" t="n">
        <x:v>73</x:v>
      </x:c>
      <x:c r="G75" t="str">
        <x:v>ng-dgx-m0-08.cloud.r-ccs.riken.jp</x:v>
      </x:c>
      <x:c r="H75" t="str">
        <x:v>NVIDIA GB10</x:v>
      </x:c>
      <x:c r="I75" t="n">
        <x:v>0</x:v>
      </x:c>
      <x:c r="J75" t="n">
        <x:v>20.91</x:v>
      </x:c>
      <x:c r="K75" t="n">
        <x:v>20.93</x:v>
      </x:c>
      <x:c r="L75" t="n">
        <x:v>21.32</x:v>
      </x:c>
      <x:c r="M75" t="n">
        <x:v>21.86</x:v>
      </x:c>
      <x:c r="N75" t="n">
        <x:v>377284</x:v>
      </x:c>
      <x:c r="O75" t="n">
        <x:v>0.625129946975</x:v>
      </x:c>
      <x:c r="P75" t="n">
        <x:v>0.622916188574</x:v>
      </x:c>
      <x:c r="Q75" t="n">
        <x:v>0.00083995</x:v>
      </x:c>
      <x:c r="R75" t="str">
        <x:v>Accepted</x:v>
      </x:c>
      <x:c r="S75" t="n">
        <x:v>23</x:v>
      </x:c>
      <x:c r="T75" t="n">
        <x:v>20</x:v>
      </x:c>
      <x:c r="U75" t="n">
        <x:v>56.086956522</x:v>
      </x:c>
      <x:c r="V75" t="n">
        <x:v>64.5</x:v>
      </x:c>
      <x:c r="W75" t="n">
        <x:v>81</x:v>
      </x:c>
      <x:c r="X75" t="n">
        <x:v>26.35</x:v>
      </x:c>
      <x:c r="Y75" t="n">
        <x:v>29</x:v>
      </x:c>
    </x:row>
    <x:row r="76">
      <x:c r="A76" t="str">
        <x:v>w4_v64</x:v>
      </x:c>
      <x:c r="B76" t="n">
        <x:v>4</x:v>
      </x:c>
      <x:c r="C76" t="n">
        <x:v>64</x:v>
      </x:c>
      <x:c r="D76" t="n">
        <x:v>5</x:v>
      </x:c>
      <x:c r="E76" t="n">
        <x:v>373138</x:v>
      </x:c>
      <x:c r="F76" t="n">
        <x:v>74</x:v>
      </x:c>
      <x:c r="G76" t="str">
        <x:v>ng-dgx-m0-09.cloud.r-ccs.riken.jp</x:v>
      </x:c>
      <x:c r="H76" t="str">
        <x:v>NVIDIA GB10</x:v>
      </x:c>
      <x:c r="I76" t="n">
        <x:v>0</x:v>
      </x:c>
      <x:c r="J76" t="n">
        <x:v>20.38</x:v>
      </x:c>
      <x:c r="K76" t="n">
        <x:v>20.39</x:v>
      </x:c>
      <x:c r="L76" t="n">
        <x:v>20.86</x:v>
      </x:c>
      <x:c r="M76" t="n">
        <x:v>21.39</x:v>
      </x:c>
      <x:c r="N76" t="n">
        <x:v>376668</x:v>
      </x:c>
      <x:c r="O76" t="n">
        <x:v>0.625129946975</x:v>
      </x:c>
      <x:c r="P76" t="n">
        <x:v>0.622916188574</x:v>
      </x:c>
      <x:c r="Q76" t="n">
        <x:v>0.00083995</x:v>
      </x:c>
      <x:c r="R76" t="str">
        <x:v>Accepted</x:v>
      </x:c>
      <x:c r="S76" t="n">
        <x:v>22</x:v>
      </x:c>
      <x:c r="T76" t="n">
        <x:v>20</x:v>
      </x:c>
      <x:c r="U76" t="n">
        <x:v>58.409090909</x:v>
      </x:c>
      <x:c r="V76" t="n">
        <x:v>64.25</x:v>
      </x:c>
      <x:c r="W76" t="n">
        <x:v>81</x:v>
      </x:c>
      <x:c r="X76" t="n">
        <x:v>29.5</x:v>
      </x:c>
      <x:c r="Y76" t="n">
        <x:v>32</x:v>
      </x:c>
    </x:row>
    <x:row r="77">
      <x:c r="A77" t="str">
        <x:v>w4_v64</x:v>
      </x:c>
      <x:c r="B77" t="n">
        <x:v>4</x:v>
      </x:c>
      <x:c r="C77" t="n">
        <x:v>64</x:v>
      </x:c>
      <x:c r="D77" t="n">
        <x:v>6</x:v>
      </x:c>
      <x:c r="E77" t="n">
        <x:v>373138</x:v>
      </x:c>
      <x:c r="F77" t="n">
        <x:v>75</x:v>
      </x:c>
      <x:c r="G77" t="str">
        <x:v>ng-dgx-m0-08.cloud.r-ccs.riken.jp</x:v>
      </x:c>
      <x:c r="H77" t="str">
        <x:v>NVIDIA GB10</x:v>
      </x:c>
      <x:c r="I77" t="n">
        <x:v>0</x:v>
      </x:c>
      <x:c r="J77" t="n">
        <x:v>20.79</x:v>
      </x:c>
      <x:c r="K77" t="n">
        <x:v>20.81</x:v>
      </x:c>
      <x:c r="L77" t="n">
        <x:v>21.29</x:v>
      </x:c>
      <x:c r="M77" t="n">
        <x:v>21.92</x:v>
      </x:c>
      <x:c r="N77" t="n">
        <x:v>376736</x:v>
      </x:c>
      <x:c r="O77" t="n">
        <x:v>0.625129946975</x:v>
      </x:c>
      <x:c r="P77" t="n">
        <x:v>0.622916188574</x:v>
      </x:c>
      <x:c r="Q77" t="n">
        <x:v>0.00083995</x:v>
      </x:c>
      <x:c r="R77" t="str">
        <x:v>Accepted</x:v>
      </x:c>
      <x:c r="S77" t="n">
        <x:v>23</x:v>
      </x:c>
      <x:c r="T77" t="n">
        <x:v>20</x:v>
      </x:c>
      <x:c r="U77" t="n">
        <x:v>55.043478261</x:v>
      </x:c>
      <x:c r="V77" t="n">
        <x:v>63.3</x:v>
      </x:c>
      <x:c r="W77" t="n">
        <x:v>81</x:v>
      </x:c>
      <x:c r="X77" t="n">
        <x:v>26.1</x:v>
      </x:c>
      <x:c r="Y77" t="n">
        <x:v>29</x:v>
      </x:c>
    </x:row>
    <x:row r="78">
      <x:c r="A78" t="str">
        <x:v>w4_v64</x:v>
      </x:c>
      <x:c r="B78" t="n">
        <x:v>4</x:v>
      </x:c>
      <x:c r="C78" t="n">
        <x:v>64</x:v>
      </x:c>
      <x:c r="D78" t="n">
        <x:v>7</x:v>
      </x:c>
      <x:c r="E78" t="n">
        <x:v>373138</x:v>
      </x:c>
      <x:c r="F78" t="n">
        <x:v>76</x:v>
      </x:c>
      <x:c r="G78" t="str">
        <x:v>ng-dgx-m0-09.cloud.r-ccs.riken.jp</x:v>
      </x:c>
      <x:c r="H78" t="str">
        <x:v>NVIDIA GB10</x:v>
      </x:c>
      <x:c r="I78" t="n">
        <x:v>0</x:v>
      </x:c>
      <x:c r="J78" t="n">
        <x:v>20.17</x:v>
      </x:c>
      <x:c r="K78" t="n">
        <x:v>20.19</x:v>
      </x:c>
      <x:c r="L78" t="n">
        <x:v>20.6</x:v>
      </x:c>
      <x:c r="M78" t="n">
        <x:v>21.16</x:v>
      </x:c>
      <x:c r="N78" t="n">
        <x:v>376428</x:v>
      </x:c>
      <x:c r="O78" t="n">
        <x:v>0.625129946975</x:v>
      </x:c>
      <x:c r="P78" t="n">
        <x:v>0.622916188574</x:v>
      </x:c>
      <x:c r="Q78" t="n">
        <x:v>0.00083995</x:v>
      </x:c>
      <x:c r="R78" t="str">
        <x:v>Accepted</x:v>
      </x:c>
      <x:c r="S78" t="n">
        <x:v>22</x:v>
      </x:c>
      <x:c r="T78" t="n">
        <x:v>18</x:v>
      </x:c>
      <x:c r="U78" t="n">
        <x:v>53.863636364</x:v>
      </x:c>
      <x:c r="V78" t="n">
        <x:v>65.833333333</x:v>
      </x:c>
      <x:c r="W78" t="n">
        <x:v>81</x:v>
      </x:c>
      <x:c r="X78" t="n">
        <x:v>29.888888889</x:v>
      </x:c>
      <x:c r="Y78" t="n">
        <x:v>32</x:v>
      </x:c>
    </x:row>
    <x:row r="79">
      <x:c r="A79" t="str">
        <x:v>w4_v64</x:v>
      </x:c>
      <x:c r="B79" t="n">
        <x:v>4</x:v>
      </x:c>
      <x:c r="C79" t="n">
        <x:v>64</x:v>
      </x:c>
      <x:c r="D79" t="n">
        <x:v>8</x:v>
      </x:c>
      <x:c r="E79" t="n">
        <x:v>373138</x:v>
      </x:c>
      <x:c r="F79" t="n">
        <x:v>77</x:v>
      </x:c>
      <x:c r="G79" t="str">
        <x:v>ng-dgx-m0-08.cloud.r-ccs.riken.jp</x:v>
      </x:c>
      <x:c r="H79" t="str">
        <x:v>NVIDIA GB10</x:v>
      </x:c>
      <x:c r="I79" t="n">
        <x:v>0</x:v>
      </x:c>
      <x:c r="J79" t="n">
        <x:v>20.83</x:v>
      </x:c>
      <x:c r="K79" t="n">
        <x:v>20.85</x:v>
      </x:c>
      <x:c r="L79" t="n">
        <x:v>21.25</x:v>
      </x:c>
      <x:c r="M79" t="n">
        <x:v>21.78</x:v>
      </x:c>
      <x:c r="N79" t="n">
        <x:v>376892</x:v>
      </x:c>
      <x:c r="O79" t="n">
        <x:v>0.625129946975</x:v>
      </x:c>
      <x:c r="P79" t="n">
        <x:v>0.622916188574</x:v>
      </x:c>
      <x:c r="Q79" t="n">
        <x:v>0.00083995</x:v>
      </x:c>
      <x:c r="R79" t="str">
        <x:v>Accepted</x:v>
      </x:c>
      <x:c r="S79" t="n">
        <x:v>23</x:v>
      </x:c>
      <x:c r="T79" t="n">
        <x:v>19</x:v>
      </x:c>
      <x:c r="U79" t="n">
        <x:v>53.217391304</x:v>
      </x:c>
      <x:c r="V79" t="n">
        <x:v>64.421052632</x:v>
      </x:c>
      <x:c r="W79" t="n">
        <x:v>81</x:v>
      </x:c>
      <x:c r="X79" t="n">
        <x:v>26.263157895</x:v>
      </x:c>
      <x:c r="Y79" t="n">
        <x:v>29</x:v>
      </x:c>
    </x:row>
    <x:row r="80">
      <x:c r="A80" t="str">
        <x:v>w4_v64</x:v>
      </x:c>
      <x:c r="B80" t="n">
        <x:v>4</x:v>
      </x:c>
      <x:c r="C80" t="n">
        <x:v>64</x:v>
      </x:c>
      <x:c r="D80" t="n">
        <x:v>9</x:v>
      </x:c>
      <x:c r="E80" t="n">
        <x:v>373138</x:v>
      </x:c>
      <x:c r="F80" t="n">
        <x:v>78</x:v>
      </x:c>
      <x:c r="G80" t="str">
        <x:v>ng-dgx-m0-09.cloud.r-ccs.riken.jp</x:v>
      </x:c>
      <x:c r="H80" t="str">
        <x:v>NVIDIA GB10</x:v>
      </x:c>
      <x:c r="I80" t="n">
        <x:v>0</x:v>
      </x:c>
      <x:c r="J80" t="n">
        <x:v>20.58</x:v>
      </x:c>
      <x:c r="K80" t="n">
        <x:v>20.6</x:v>
      </x:c>
      <x:c r="L80" t="n">
        <x:v>21.06</x:v>
      </x:c>
      <x:c r="M80" t="n">
        <x:v>21.58</x:v>
      </x:c>
      <x:c r="N80" t="n">
        <x:v>376660</x:v>
      </x:c>
      <x:c r="O80" t="n">
        <x:v>0.625129946975</x:v>
      </x:c>
      <x:c r="P80" t="n">
        <x:v>0.622916188574</x:v>
      </x:c>
      <x:c r="Q80" t="n">
        <x:v>0.00083995</x:v>
      </x:c>
      <x:c r="R80" t="str">
        <x:v>Accepted</x:v>
      </x:c>
      <x:c r="S80" t="n">
        <x:v>22</x:v>
      </x:c>
      <x:c r="T80" t="n">
        <x:v>20</x:v>
      </x:c>
      <x:c r="U80" t="n">
        <x:v>58.227272727</x:v>
      </x:c>
      <x:c r="V80" t="n">
        <x:v>64.05</x:v>
      </x:c>
      <x:c r="W80" t="n">
        <x:v>80</x:v>
      </x:c>
      <x:c r="X80" t="n">
        <x:v>29.5</x:v>
      </x:c>
      <x:c r="Y80" t="n">
        <x:v>32</x:v>
      </x:c>
    </x:row>
    <x:row r="81">
      <x:c r="A81" t="str">
        <x:v>w4_v64</x:v>
      </x:c>
      <x:c r="B81" t="n">
        <x:v>4</x:v>
      </x:c>
      <x:c r="C81" t="n">
        <x:v>64</x:v>
      </x:c>
      <x:c r="D81" t="n">
        <x:v>10</x:v>
      </x:c>
      <x:c r="E81" t="n">
        <x:v>373138</x:v>
      </x:c>
      <x:c r="F81" t="n">
        <x:v>79</x:v>
      </x:c>
      <x:c r="G81" t="str">
        <x:v>ng-dgx-m0-08.cloud.r-ccs.riken.jp</x:v>
      </x:c>
      <x:c r="H81" t="str">
        <x:v>NVIDIA GB10</x:v>
      </x:c>
      <x:c r="I81" t="n">
        <x:v>0</x:v>
      </x:c>
      <x:c r="J81" t="n">
        <x:v>20.93</x:v>
      </x:c>
      <x:c r="K81" t="n">
        <x:v>20.94</x:v>
      </x:c>
      <x:c r="L81" t="n">
        <x:v>21.4</x:v>
      </x:c>
      <x:c r="M81" t="n">
        <x:v>21.93</x:v>
      </x:c>
      <x:c r="N81" t="n">
        <x:v>376988</x:v>
      </x:c>
      <x:c r="O81" t="n">
        <x:v>0.625129946975</x:v>
      </x:c>
      <x:c r="P81" t="n">
        <x:v>0.622916188574</x:v>
      </x:c>
      <x:c r="Q81" t="n">
        <x:v>0.00083995</x:v>
      </x:c>
      <x:c r="R81" t="str">
        <x:v>Accepted</x:v>
      </x:c>
      <x:c r="S81" t="n">
        <x:v>23</x:v>
      </x:c>
      <x:c r="T81" t="n">
        <x:v>20</x:v>
      </x:c>
      <x:c r="U81" t="n">
        <x:v>56.260869565</x:v>
      </x:c>
      <x:c r="V81" t="n">
        <x:v>64.7</x:v>
      </x:c>
      <x:c r="W81" t="n">
        <x:v>81</x:v>
      </x:c>
      <x:c r="X81" t="n">
        <x:v>25.9</x:v>
      </x:c>
      <x:c r="Y81" t="n">
        <x:v>29</x:v>
      </x:c>
    </x:row>
    <x:row r="82">
      <x:c r="A82" t="str">
        <x:v>w4_v128</x:v>
      </x:c>
      <x:c r="B82" t="n">
        <x:v>4</x:v>
      </x:c>
      <x:c r="C82" t="n">
        <x:v>128</x:v>
      </x:c>
      <x:c r="D82" t="n">
        <x:v>1</x:v>
      </x:c>
      <x:c r="E82" t="n">
        <x:v>373138</x:v>
      </x:c>
      <x:c r="F82" t="n">
        <x:v>80</x:v>
      </x:c>
      <x:c r="G82" t="str">
        <x:v>ng-dgx-m0-09.cloud.r-ccs.riken.jp</x:v>
      </x:c>
      <x:c r="H82" t="str">
        <x:v>NVIDIA GB10</x:v>
      </x:c>
      <x:c r="I82" t="n">
        <x:v>0</x:v>
      </x:c>
      <x:c r="J82" t="n">
        <x:v>22.01</x:v>
      </x:c>
      <x:c r="K82" t="n">
        <x:v>22.03</x:v>
      </x:c>
      <x:c r="L82" t="n">
        <x:v>22.44</x:v>
      </x:c>
      <x:c r="M82" t="n">
        <x:v>22.94</x:v>
      </x:c>
      <x:c r="N82" t="n">
        <x:v>376860</x:v>
      </x:c>
      <x:c r="O82" t="n">
        <x:v>0.625129946975</x:v>
      </x:c>
      <x:c r="P82" t="n">
        <x:v>0.622916188574</x:v>
      </x:c>
      <x:c r="Q82" t="n">
        <x:v>0.00083995</x:v>
      </x:c>
      <x:c r="R82" t="str">
        <x:v>Accepted</x:v>
      </x:c>
      <x:c r="S82" t="n">
        <x:v>24</x:v>
      </x:c>
      <x:c r="T82" t="n">
        <x:v>20</x:v>
      </x:c>
      <x:c r="U82" t="n">
        <x:v>58.083333333</x:v>
      </x:c>
      <x:c r="V82" t="n">
        <x:v>69.7</x:v>
      </x:c>
      <x:c r="W82" t="n">
        <x:v>82</x:v>
      </x:c>
      <x:c r="X82" t="n">
        <x:v>29.15</x:v>
      </x:c>
      <x:c r="Y82" t="n">
        <x:v>31</x:v>
      </x:c>
    </x:row>
    <x:row r="83">
      <x:c r="A83" t="str">
        <x:v>w4_v128</x:v>
      </x:c>
      <x:c r="B83" t="n">
        <x:v>4</x:v>
      </x:c>
      <x:c r="C83" t="n">
        <x:v>128</x:v>
      </x:c>
      <x:c r="D83" t="n">
        <x:v>2</x:v>
      </x:c>
      <x:c r="E83" t="n">
        <x:v>373138</x:v>
      </x:c>
      <x:c r="F83" t="n">
        <x:v>81</x:v>
      </x:c>
      <x:c r="G83" t="str">
        <x:v>ng-dgx-m0-08.cloud.r-ccs.riken.jp</x:v>
      </x:c>
      <x:c r="H83" t="str">
        <x:v>NVIDIA GB10</x:v>
      </x:c>
      <x:c r="I83" t="n">
        <x:v>0</x:v>
      </x:c>
      <x:c r="J83" t="n">
        <x:v>22.97</x:v>
      </x:c>
      <x:c r="K83" t="n">
        <x:v>22.99</x:v>
      </x:c>
      <x:c r="L83" t="n">
        <x:v>23.4</x:v>
      </x:c>
      <x:c r="M83" t="n">
        <x:v>23.93</x:v>
      </x:c>
      <x:c r="N83" t="n">
        <x:v>377136</x:v>
      </x:c>
      <x:c r="O83" t="n">
        <x:v>0.625129946975</x:v>
      </x:c>
      <x:c r="P83" t="n">
        <x:v>0.622916188574</x:v>
      </x:c>
      <x:c r="Q83" t="n">
        <x:v>0.00083995</x:v>
      </x:c>
      <x:c r="R83" t="str">
        <x:v>Accepted</x:v>
      </x:c>
      <x:c r="S83" t="n">
        <x:v>25</x:v>
      </x:c>
      <x:c r="T83" t="n">
        <x:v>22</x:v>
      </x:c>
      <x:c r="U83" t="n">
        <x:v>61.36</x:v>
      </x:c>
      <x:c r="V83" t="n">
        <x:v>69.727272727</x:v>
      </x:c>
      <x:c r="W83" t="n">
        <x:v>82</x:v>
      </x:c>
      <x:c r="X83" t="n">
        <x:v>25.272727273</x:v>
      </x:c>
      <x:c r="Y83" t="n">
        <x:v>28</x:v>
      </x:c>
    </x:row>
    <x:row r="84">
      <x:c r="A84" t="str">
        <x:v>w4_v128</x:v>
      </x:c>
      <x:c r="B84" t="n">
        <x:v>4</x:v>
      </x:c>
      <x:c r="C84" t="n">
        <x:v>128</x:v>
      </x:c>
      <x:c r="D84" t="n">
        <x:v>3</x:v>
      </x:c>
      <x:c r="E84" t="n">
        <x:v>373138</x:v>
      </x:c>
      <x:c r="F84" t="n">
        <x:v>82</x:v>
      </x:c>
      <x:c r="G84" t="str">
        <x:v>ng-dgx-m0-09.cloud.r-ccs.riken.jp</x:v>
      </x:c>
      <x:c r="H84" t="str">
        <x:v>NVIDIA GB10</x:v>
      </x:c>
      <x:c r="I84" t="n">
        <x:v>0</x:v>
      </x:c>
      <x:c r="J84" t="n">
        <x:v>22.51</x:v>
      </x:c>
      <x:c r="K84" t="n">
        <x:v>22.53</x:v>
      </x:c>
      <x:c r="L84" t="n">
        <x:v>23.01</x:v>
      </x:c>
      <x:c r="M84" t="n">
        <x:v>23.52</x:v>
      </x:c>
      <x:c r="N84" t="n">
        <x:v>376400</x:v>
      </x:c>
      <x:c r="O84" t="n">
        <x:v>0.625129946975</x:v>
      </x:c>
      <x:c r="P84" t="n">
        <x:v>0.622916188574</x:v>
      </x:c>
      <x:c r="Q84" t="n">
        <x:v>0.00083995</x:v>
      </x:c>
      <x:c r="R84" t="str">
        <x:v>Accepted</x:v>
      </x:c>
      <x:c r="S84" t="n">
        <x:v>25</x:v>
      </x:c>
      <x:c r="T84" t="n">
        <x:v>22</x:v>
      </x:c>
      <x:c r="U84" t="n">
        <x:v>60.36</x:v>
      </x:c>
      <x:c r="V84" t="n">
        <x:v>68.590909091</x:v>
      </x:c>
      <x:c r="W84" t="n">
        <x:v>82</x:v>
      </x:c>
      <x:c r="X84" t="n">
        <x:v>28.681818182</x:v>
      </x:c>
      <x:c r="Y84" t="n">
        <x:v>32</x:v>
      </x:c>
    </x:row>
    <x:row r="85">
      <x:c r="A85" t="str">
        <x:v>w4_v128</x:v>
      </x:c>
      <x:c r="B85" t="n">
        <x:v>4</x:v>
      </x:c>
      <x:c r="C85" t="n">
        <x:v>128</x:v>
      </x:c>
      <x:c r="D85" t="n">
        <x:v>4</x:v>
      </x:c>
      <x:c r="E85" t="n">
        <x:v>373138</x:v>
      </x:c>
      <x:c r="F85" t="n">
        <x:v>83</x:v>
      </x:c>
      <x:c r="G85" t="str">
        <x:v>ng-dgx-m0-08.cloud.r-ccs.riken.jp</x:v>
      </x:c>
      <x:c r="H85" t="str">
        <x:v>NVIDIA GB10</x:v>
      </x:c>
      <x:c r="I85" t="n">
        <x:v>0</x:v>
      </x:c>
      <x:c r="J85" t="n">
        <x:v>22.22</x:v>
      </x:c>
      <x:c r="K85" t="n">
        <x:v>22.24</x:v>
      </x:c>
      <x:c r="L85" t="n">
        <x:v>22.63</x:v>
      </x:c>
      <x:c r="M85" t="n">
        <x:v>23.14</x:v>
      </x:c>
      <x:c r="N85" t="n">
        <x:v>375424</x:v>
      </x:c>
      <x:c r="O85" t="n">
        <x:v>0.625129946975</x:v>
      </x:c>
      <x:c r="P85" t="n">
        <x:v>0.622916188574</x:v>
      </x:c>
      <x:c r="Q85" t="n">
        <x:v>0.00083995</x:v>
      </x:c>
      <x:c r="R85" t="str">
        <x:v>Accepted</x:v>
      </x:c>
      <x:c r="S85" t="n">
        <x:v>24</x:v>
      </x:c>
      <x:c r="T85" t="n">
        <x:v>20</x:v>
      </x:c>
      <x:c r="U85" t="n">
        <x:v>51.75</x:v>
      </x:c>
      <x:c r="V85" t="n">
        <x:v>62.1</x:v>
      </x:c>
      <x:c r="W85" t="n">
        <x:v>82</x:v>
      </x:c>
      <x:c r="X85" t="n">
        <x:v>25.55</x:v>
      </x:c>
      <x:c r="Y85" t="n">
        <x:v>28</x:v>
      </x:c>
    </x:row>
    <x:row r="86">
      <x:c r="A86" t="str">
        <x:v>w4_v128</x:v>
      </x:c>
      <x:c r="B86" t="n">
        <x:v>4</x:v>
      </x:c>
      <x:c r="C86" t="n">
        <x:v>128</x:v>
      </x:c>
      <x:c r="D86" t="n">
        <x:v>5</x:v>
      </x:c>
      <x:c r="E86" t="n">
        <x:v>373138</x:v>
      </x:c>
      <x:c r="F86" t="n">
        <x:v>84</x:v>
      </x:c>
      <x:c r="G86" t="str">
        <x:v>ng-dgx-m0-09.cloud.r-ccs.riken.jp</x:v>
      </x:c>
      <x:c r="H86" t="str">
        <x:v>NVIDIA GB10</x:v>
      </x:c>
      <x:c r="I86" t="n">
        <x:v>0</x:v>
      </x:c>
      <x:c r="J86" t="n">
        <x:v>22.15</x:v>
      </x:c>
      <x:c r="K86" t="n">
        <x:v>22.17</x:v>
      </x:c>
      <x:c r="L86" t="n">
        <x:v>22.63</x:v>
      </x:c>
      <x:c r="M86" t="n">
        <x:v>23.17</x:v>
      </x:c>
      <x:c r="N86" t="n">
        <x:v>376776</x:v>
      </x:c>
      <x:c r="O86" t="n">
        <x:v>0.625129946975</x:v>
      </x:c>
      <x:c r="P86" t="n">
        <x:v>0.622916188574</x:v>
      </x:c>
      <x:c r="Q86" t="n">
        <x:v>0.00083995</x:v>
      </x:c>
      <x:c r="R86" t="str">
        <x:v>Accepted</x:v>
      </x:c>
      <x:c r="S86" t="n">
        <x:v>24</x:v>
      </x:c>
      <x:c r="T86" t="n">
        <x:v>21</x:v>
      </x:c>
      <x:c r="U86" t="n">
        <x:v>53.083333333</x:v>
      </x:c>
      <x:c r="V86" t="n">
        <x:v>60.666666667</x:v>
      </x:c>
      <x:c r="W86" t="n">
        <x:v>81</x:v>
      </x:c>
      <x:c r="X86" t="n">
        <x:v>28.619047619</x:v>
      </x:c>
      <x:c r="Y86" t="n">
        <x:v>31</x:v>
      </x:c>
    </x:row>
    <x:row r="87">
      <x:c r="A87" t="str">
        <x:v>w4_v128</x:v>
      </x:c>
      <x:c r="B87" t="n">
        <x:v>4</x:v>
      </x:c>
      <x:c r="C87" t="n">
        <x:v>128</x:v>
      </x:c>
      <x:c r="D87" t="n">
        <x:v>6</x:v>
      </x:c>
      <x:c r="E87" t="n">
        <x:v>373138</x:v>
      </x:c>
      <x:c r="F87" t="n">
        <x:v>85</x:v>
      </x:c>
      <x:c r="G87" t="str">
        <x:v>ng-dgx-m0-08.cloud.r-ccs.riken.jp</x:v>
      </x:c>
      <x:c r="H87" t="str">
        <x:v>NVIDIA GB10</x:v>
      </x:c>
      <x:c r="I87" t="n">
        <x:v>0</x:v>
      </x:c>
      <x:c r="J87" t="n">
        <x:v>22.59</x:v>
      </x:c>
      <x:c r="K87" t="n">
        <x:v>22.6</x:v>
      </x:c>
      <x:c r="L87" t="n">
        <x:v>23.01</x:v>
      </x:c>
      <x:c r="M87" t="n">
        <x:v>23.54</x:v>
      </x:c>
      <x:c r="N87" t="n">
        <x:v>377104</x:v>
      </x:c>
      <x:c r="O87" t="n">
        <x:v>0.625129946975</x:v>
      </x:c>
      <x:c r="P87" t="n">
        <x:v>0.622916188574</x:v>
      </x:c>
      <x:c r="Q87" t="n">
        <x:v>0.00083995</x:v>
      </x:c>
      <x:c r="R87" t="str">
        <x:v>Accepted</x:v>
      </x:c>
      <x:c r="S87" t="n">
        <x:v>24</x:v>
      </x:c>
      <x:c r="T87" t="n">
        <x:v>22</x:v>
      </x:c>
      <x:c r="U87" t="n">
        <x:v>64</x:v>
      </x:c>
      <x:c r="V87" t="n">
        <x:v>69.818181818</x:v>
      </x:c>
      <x:c r="W87" t="n">
        <x:v>82</x:v>
      </x:c>
      <x:c r="X87" t="n">
        <x:v>25.5</x:v>
      </x:c>
      <x:c r="Y87" t="n">
        <x:v>28</x:v>
      </x:c>
    </x:row>
    <x:row r="88">
      <x:c r="A88" t="str">
        <x:v>w4_v128</x:v>
      </x:c>
      <x:c r="B88" t="n">
        <x:v>4</x:v>
      </x:c>
      <x:c r="C88" t="n">
        <x:v>128</x:v>
      </x:c>
      <x:c r="D88" t="n">
        <x:v>7</x:v>
      </x:c>
      <x:c r="E88" t="n">
        <x:v>373138</x:v>
      </x:c>
      <x:c r="F88" t="n">
        <x:v>86</x:v>
      </x:c>
      <x:c r="G88" t="str">
        <x:v>ng-dgx-m0-09.cloud.r-ccs.riken.jp</x:v>
      </x:c>
      <x:c r="H88" t="str">
        <x:v>NVIDIA GB10</x:v>
      </x:c>
      <x:c r="I88" t="n">
        <x:v>0</x:v>
      </x:c>
      <x:c r="J88" t="n">
        <x:v>21.9</x:v>
      </x:c>
      <x:c r="K88" t="n">
        <x:v>21.91</x:v>
      </x:c>
      <x:c r="L88" t="n">
        <x:v>22.32</x:v>
      </x:c>
      <x:c r="M88" t="n">
        <x:v>22.83</x:v>
      </x:c>
      <x:c r="N88" t="n">
        <x:v>376672</x:v>
      </x:c>
      <x:c r="O88" t="n">
        <x:v>0.625129946975</x:v>
      </x:c>
      <x:c r="P88" t="n">
        <x:v>0.622916188574</x:v>
      </x:c>
      <x:c r="Q88" t="n">
        <x:v>0.00083995</x:v>
      </x:c>
      <x:c r="R88" t="str">
        <x:v>Accepted</x:v>
      </x:c>
      <x:c r="S88" t="n">
        <x:v>24</x:v>
      </x:c>
      <x:c r="T88" t="n">
        <x:v>21</x:v>
      </x:c>
      <x:c r="U88" t="n">
        <x:v>60.625</x:v>
      </x:c>
      <x:c r="V88" t="n">
        <x:v>69.285714286</x:v>
      </x:c>
      <x:c r="W88" t="n">
        <x:v>82</x:v>
      </x:c>
      <x:c r="X88" t="n">
        <x:v>28.476190476</x:v>
      </x:c>
      <x:c r="Y88" t="n">
        <x:v>31</x:v>
      </x:c>
    </x:row>
    <x:row r="89">
      <x:c r="A89" t="str">
        <x:v>w4_v128</x:v>
      </x:c>
      <x:c r="B89" t="n">
        <x:v>4</x:v>
      </x:c>
      <x:c r="C89" t="n">
        <x:v>128</x:v>
      </x:c>
      <x:c r="D89" t="n">
        <x:v>8</x:v>
      </x:c>
      <x:c r="E89" t="n">
        <x:v>373138</x:v>
      </x:c>
      <x:c r="F89" t="n">
        <x:v>87</x:v>
      </x:c>
      <x:c r="G89" t="str">
        <x:v>ng-dgx-m0-08.cloud.r-ccs.riken.jp</x:v>
      </x:c>
      <x:c r="H89" t="str">
        <x:v>NVIDIA GB10</x:v>
      </x:c>
      <x:c r="I89" t="n">
        <x:v>0</x:v>
      </x:c>
      <x:c r="J89" t="n">
        <x:v>22.9</x:v>
      </x:c>
      <x:c r="K89" t="n">
        <x:v>22.92</x:v>
      </x:c>
      <x:c r="L89" t="n">
        <x:v>23.35</x:v>
      </x:c>
      <x:c r="M89" t="n">
        <x:v>23.94</x:v>
      </x:c>
      <x:c r="N89" t="n">
        <x:v>377068</x:v>
      </x:c>
      <x:c r="O89" t="n">
        <x:v>0.625129946975</x:v>
      </x:c>
      <x:c r="P89" t="n">
        <x:v>0.622916188574</x:v>
      </x:c>
      <x:c r="Q89" t="n">
        <x:v>0.00083995</x:v>
      </x:c>
      <x:c r="R89" t="str">
        <x:v>Accepted</x:v>
      </x:c>
      <x:c r="S89" t="n">
        <x:v>25</x:v>
      </x:c>
      <x:c r="T89" t="n">
        <x:v>20</x:v>
      </x:c>
      <x:c r="U89" t="n">
        <x:v>59.72</x:v>
      </x:c>
      <x:c r="V89" t="n">
        <x:v>74.65</x:v>
      </x:c>
      <x:c r="W89" t="n">
        <x:v>82</x:v>
      </x:c>
      <x:c r="X89" t="n">
        <x:v>25.6</x:v>
      </x:c>
      <x:c r="Y89" t="n">
        <x:v>28</x:v>
      </x:c>
    </x:row>
    <x:row r="90">
      <x:c r="A90" t="str">
        <x:v>w4_v128</x:v>
      </x:c>
      <x:c r="B90" t="n">
        <x:v>4</x:v>
      </x:c>
      <x:c r="C90" t="n">
        <x:v>128</x:v>
      </x:c>
      <x:c r="D90" t="n">
        <x:v>9</x:v>
      </x:c>
      <x:c r="E90" t="n">
        <x:v>373138</x:v>
      </x:c>
      <x:c r="F90" t="n">
        <x:v>88</x:v>
      </x:c>
      <x:c r="G90" t="str">
        <x:v>ng-dgx-m0-09.cloud.r-ccs.riken.jp</x:v>
      </x:c>
      <x:c r="H90" t="str">
        <x:v>NVIDIA GB10</x:v>
      </x:c>
      <x:c r="I90" t="n">
        <x:v>0</x:v>
      </x:c>
      <x:c r="J90" t="n">
        <x:v>22.73</x:v>
      </x:c>
      <x:c r="K90" t="n">
        <x:v>22.75</x:v>
      </x:c>
      <x:c r="L90" t="n">
        <x:v>23.22</x:v>
      </x:c>
      <x:c r="M90" t="n">
        <x:v>23.74</x:v>
      </x:c>
      <x:c r="N90" t="n">
        <x:v>376772</x:v>
      </x:c>
      <x:c r="O90" t="n">
        <x:v>0.625129946975</x:v>
      </x:c>
      <x:c r="P90" t="n">
        <x:v>0.622916188574</x:v>
      </x:c>
      <x:c r="Q90" t="n">
        <x:v>0.00083995</x:v>
      </x:c>
      <x:c r="R90" t="str">
        <x:v>Accepted</x:v>
      </x:c>
      <x:c r="S90" t="n">
        <x:v>25</x:v>
      </x:c>
      <x:c r="T90" t="n">
        <x:v>22</x:v>
      </x:c>
      <x:c r="U90" t="n">
        <x:v>60.64</x:v>
      </x:c>
      <x:c r="V90" t="n">
        <x:v>68.909090909</x:v>
      </x:c>
      <x:c r="W90" t="n">
        <x:v>81</x:v>
      </x:c>
      <x:c r="X90" t="n">
        <x:v>28.363636364</x:v>
      </x:c>
      <x:c r="Y90" t="n">
        <x:v>31</x:v>
      </x:c>
    </x:row>
    <x:row r="91">
      <x:c r="A91" t="str">
        <x:v>w4_v128</x:v>
      </x:c>
      <x:c r="B91" t="n">
        <x:v>4</x:v>
      </x:c>
      <x:c r="C91" t="n">
        <x:v>128</x:v>
      </x:c>
      <x:c r="D91" t="n">
        <x:v>10</x:v>
      </x:c>
      <x:c r="E91" t="n">
        <x:v>373138</x:v>
      </x:c>
      <x:c r="F91" t="n">
        <x:v>89</x:v>
      </x:c>
      <x:c r="G91" t="str">
        <x:v>ng-dgx-m0-08.cloud.r-ccs.riken.jp</x:v>
      </x:c>
      <x:c r="H91" t="str">
        <x:v>NVIDIA GB10</x:v>
      </x:c>
      <x:c r="I91" t="n">
        <x:v>0</x:v>
      </x:c>
      <x:c r="J91" t="n">
        <x:v>22.76</x:v>
      </x:c>
      <x:c r="K91" t="n">
        <x:v>22.77</x:v>
      </x:c>
      <x:c r="L91" t="n">
        <x:v>23.2</x:v>
      </x:c>
      <x:c r="M91" t="n">
        <x:v>23.74</x:v>
      </x:c>
      <x:c r="N91" t="n">
        <x:v>377096</x:v>
      </x:c>
      <x:c r="O91" t="n">
        <x:v>0.625129946975</x:v>
      </x:c>
      <x:c r="P91" t="n">
        <x:v>0.622916188574</x:v>
      </x:c>
      <x:c r="Q91" t="n">
        <x:v>0.00083995</x:v>
      </x:c>
      <x:c r="R91" t="str">
        <x:v>Accepted</x:v>
      </x:c>
      <x:c r="S91" t="n">
        <x:v>24</x:v>
      </x:c>
      <x:c r="T91" t="n">
        <x:v>22</x:v>
      </x:c>
      <x:c r="U91" t="n">
        <x:v>62.666666667</x:v>
      </x:c>
      <x:c r="V91" t="n">
        <x:v>68.363636364</x:v>
      </x:c>
      <x:c r="W91" t="n">
        <x:v>82</x:v>
      </x:c>
      <x:c r="X91" t="n">
        <x:v>25.545454545</x:v>
      </x:c>
      <x:c r="Y91" t="n">
        <x:v>28</x:v>
      </x:c>
    </x:row>
    <x:row r="92">
      <x:c r="A92" t="str">
        <x:v>w8_v32</x:v>
      </x:c>
      <x:c r="B92" t="n">
        <x:v>8</x:v>
      </x:c>
      <x:c r="C92" t="n">
        <x:v>32</x:v>
      </x:c>
      <x:c r="D92" t="n">
        <x:v>1</x:v>
      </x:c>
      <x:c r="E92" t="n">
        <x:v>373138</x:v>
      </x:c>
      <x:c r="F92" t="n">
        <x:v>90</x:v>
      </x:c>
      <x:c r="G92" t="str">
        <x:v>ng-dgx-m0-09.cloud.r-ccs.riken.jp</x:v>
      </x:c>
      <x:c r="H92" t="str">
        <x:v>NVIDIA GB10</x:v>
      </x:c>
      <x:c r="I92" t="n">
        <x:v>0</x:v>
      </x:c>
      <x:c r="J92" t="n">
        <x:v>20.55</x:v>
      </x:c>
      <x:c r="K92" t="n">
        <x:v>20.56</x:v>
      </x:c>
      <x:c r="L92" t="n">
        <x:v>20.97</x:v>
      </x:c>
      <x:c r="M92" t="n">
        <x:v>21.47</x:v>
      </x:c>
      <x:c r="N92" t="n">
        <x:v>377028</x:v>
      </x:c>
      <x:c r="O92" t="n">
        <x:v>0.625129946975</x:v>
      </x:c>
      <x:c r="P92" t="n">
        <x:v>0.622916188574</x:v>
      </x:c>
      <x:c r="Q92" t="n">
        <x:v>0.00083995</x:v>
      </x:c>
      <x:c r="R92" t="str">
        <x:v>Accepted</x:v>
      </x:c>
      <x:c r="S92" t="n">
        <x:v>22</x:v>
      </x:c>
      <x:c r="T92" t="n">
        <x:v>20</x:v>
      </x:c>
      <x:c r="U92" t="n">
        <x:v>57.272727273</x:v>
      </x:c>
      <x:c r="V92" t="n">
        <x:v>63</x:v>
      </x:c>
      <x:c r="W92" t="n">
        <x:v>80</x:v>
      </x:c>
      <x:c r="X92" t="n">
        <x:v>29.3</x:v>
      </x:c>
      <x:c r="Y92" t="n">
        <x:v>32</x:v>
      </x:c>
    </x:row>
    <x:row r="93">
      <x:c r="A93" t="str">
        <x:v>w8_v32</x:v>
      </x:c>
      <x:c r="B93" t="n">
        <x:v>8</x:v>
      </x:c>
      <x:c r="C93" t="n">
        <x:v>32</x:v>
      </x:c>
      <x:c r="D93" t="n">
        <x:v>2</x:v>
      </x:c>
      <x:c r="E93" t="n">
        <x:v>373138</x:v>
      </x:c>
      <x:c r="F93" t="n">
        <x:v>91</x:v>
      </x:c>
      <x:c r="G93" t="str">
        <x:v>ng-dgx-m0-08.cloud.r-ccs.riken.jp</x:v>
      </x:c>
      <x:c r="H93" t="str">
        <x:v>NVIDIA GB10</x:v>
      </x:c>
      <x:c r="I93" t="n">
        <x:v>0</x:v>
      </x:c>
      <x:c r="J93" t="n">
        <x:v>21.08</x:v>
      </x:c>
      <x:c r="K93" t="n">
        <x:v>21.1</x:v>
      </x:c>
      <x:c r="L93" t="n">
        <x:v>21.5</x:v>
      </x:c>
      <x:c r="M93" t="n">
        <x:v>22.02</x:v>
      </x:c>
      <x:c r="N93" t="n">
        <x:v>376920</x:v>
      </x:c>
      <x:c r="O93" t="n">
        <x:v>0.625129946975</x:v>
      </x:c>
      <x:c r="P93" t="n">
        <x:v>0.622916188574</x:v>
      </x:c>
      <x:c r="Q93" t="n">
        <x:v>0.00083995</x:v>
      </x:c>
      <x:c r="R93" t="str">
        <x:v>Accepted</x:v>
      </x:c>
      <x:c r="S93" t="n">
        <x:v>22</x:v>
      </x:c>
      <x:c r="T93" t="n">
        <x:v>20</x:v>
      </x:c>
      <x:c r="U93" t="n">
        <x:v>59.136363636</x:v>
      </x:c>
      <x:c r="V93" t="n">
        <x:v>65.05</x:v>
      </x:c>
      <x:c r="W93" t="n">
        <x:v>81</x:v>
      </x:c>
      <x:c r="X93" t="n">
        <x:v>26.05</x:v>
      </x:c>
      <x:c r="Y93" t="n">
        <x:v>29</x:v>
      </x:c>
    </x:row>
    <x:row r="94">
      <x:c r="A94" t="str">
        <x:v>w8_v32</x:v>
      </x:c>
      <x:c r="B94" t="n">
        <x:v>8</x:v>
      </x:c>
      <x:c r="C94" t="n">
        <x:v>32</x:v>
      </x:c>
      <x:c r="D94" t="n">
        <x:v>3</x:v>
      </x:c>
      <x:c r="E94" t="n">
        <x:v>373138</x:v>
      </x:c>
      <x:c r="F94" t="n">
        <x:v>92</x:v>
      </x:c>
      <x:c r="G94" t="str">
        <x:v>ng-dgx-m0-09.cloud.r-ccs.riken.jp</x:v>
      </x:c>
      <x:c r="H94" t="str">
        <x:v>NVIDIA GB10</x:v>
      </x:c>
      <x:c r="I94" t="n">
        <x:v>0</x:v>
      </x:c>
      <x:c r="J94" t="n">
        <x:v>20.42</x:v>
      </x:c>
      <x:c r="K94" t="n">
        <x:v>20.44</x:v>
      </x:c>
      <x:c r="L94" t="n">
        <x:v>20.85</x:v>
      </x:c>
      <x:c r="M94" t="n">
        <x:v>21.38</x:v>
      </x:c>
      <x:c r="N94" t="n">
        <x:v>376464</x:v>
      </x:c>
      <x:c r="O94" t="n">
        <x:v>0.625129946975</x:v>
      </x:c>
      <x:c r="P94" t="n">
        <x:v>0.622916188574</x:v>
      </x:c>
      <x:c r="Q94" t="n">
        <x:v>0.00083995</x:v>
      </x:c>
      <x:c r="R94" t="str">
        <x:v>Accepted</x:v>
      </x:c>
      <x:c r="S94" t="n">
        <x:v>22</x:v>
      </x:c>
      <x:c r="T94" t="n">
        <x:v>20</x:v>
      </x:c>
      <x:c r="U94" t="n">
        <x:v>61.636363636</x:v>
      </x:c>
      <x:c r="V94" t="n">
        <x:v>67.8</x:v>
      </x:c>
      <x:c r="W94" t="n">
        <x:v>80</x:v>
      </x:c>
      <x:c r="X94" t="n">
        <x:v>29.6</x:v>
      </x:c>
      <x:c r="Y94" t="n">
        <x:v>32</x:v>
      </x:c>
    </x:row>
    <x:row r="95">
      <x:c r="A95" t="str">
        <x:v>w8_v32</x:v>
      </x:c>
      <x:c r="B95" t="n">
        <x:v>8</x:v>
      </x:c>
      <x:c r="C95" t="n">
        <x:v>32</x:v>
      </x:c>
      <x:c r="D95" t="n">
        <x:v>4</x:v>
      </x:c>
      <x:c r="E95" t="n">
        <x:v>373138</x:v>
      </x:c>
      <x:c r="F95" t="n">
        <x:v>93</x:v>
      </x:c>
      <x:c r="G95" t="str">
        <x:v>ng-dgx-m0-08.cloud.r-ccs.riken.jp</x:v>
      </x:c>
      <x:c r="H95" t="str">
        <x:v>NVIDIA GB10</x:v>
      </x:c>
      <x:c r="I95" t="n">
        <x:v>0</x:v>
      </x:c>
      <x:c r="J95" t="n">
        <x:v>20.99</x:v>
      </x:c>
      <x:c r="K95" t="n">
        <x:v>21.01</x:v>
      </x:c>
      <x:c r="L95" t="n">
        <x:v>21.44</x:v>
      </x:c>
      <x:c r="M95" t="n">
        <x:v>21.96</x:v>
      </x:c>
      <x:c r="N95" t="n">
        <x:v>377048</x:v>
      </x:c>
      <x:c r="O95" t="n">
        <x:v>0.625129946975</x:v>
      </x:c>
      <x:c r="P95" t="n">
        <x:v>0.622916188574</x:v>
      </x:c>
      <x:c r="Q95" t="n">
        <x:v>0.00083995</x:v>
      </x:c>
      <x:c r="R95" t="str">
        <x:v>Accepted</x:v>
      </x:c>
      <x:c r="S95" t="n">
        <x:v>23</x:v>
      </x:c>
      <x:c r="T95" t="n">
        <x:v>20</x:v>
      </x:c>
      <x:c r="U95" t="n">
        <x:v>58.956521739</x:v>
      </x:c>
      <x:c r="V95" t="n">
        <x:v>67.8</x:v>
      </x:c>
      <x:c r="W95" t="n">
        <x:v>81</x:v>
      </x:c>
      <x:c r="X95" t="n">
        <x:v>26.2</x:v>
      </x:c>
      <x:c r="Y95" t="n">
        <x:v>29</x:v>
      </x:c>
    </x:row>
    <x:row r="96">
      <x:c r="A96" t="str">
        <x:v>w8_v32</x:v>
      </x:c>
      <x:c r="B96" t="n">
        <x:v>8</x:v>
      </x:c>
      <x:c r="C96" t="n">
        <x:v>32</x:v>
      </x:c>
      <x:c r="D96" t="n">
        <x:v>5</x:v>
      </x:c>
      <x:c r="E96" t="n">
        <x:v>373138</x:v>
      </x:c>
      <x:c r="F96" t="n">
        <x:v>94</x:v>
      </x:c>
      <x:c r="G96" t="str">
        <x:v>ng-dgx-m0-09.cloud.r-ccs.riken.jp</x:v>
      </x:c>
      <x:c r="H96" t="str">
        <x:v>NVIDIA GB10</x:v>
      </x:c>
      <x:c r="I96" t="n">
        <x:v>0</x:v>
      </x:c>
      <x:c r="J96" t="n">
        <x:v>20.12</x:v>
      </x:c>
      <x:c r="K96" t="n">
        <x:v>20.13</x:v>
      </x:c>
      <x:c r="L96" t="n">
        <x:v>20.54</x:v>
      </x:c>
      <x:c r="M96" t="n">
        <x:v>21.05</x:v>
      </x:c>
      <x:c r="N96" t="n">
        <x:v>376916</x:v>
      </x:c>
      <x:c r="O96" t="n">
        <x:v>0.625129946975</x:v>
      </x:c>
      <x:c r="P96" t="n">
        <x:v>0.622916188574</x:v>
      </x:c>
      <x:c r="Q96" t="n">
        <x:v>0.00083995</x:v>
      </x:c>
      <x:c r="R96" t="str">
        <x:v>Accepted</x:v>
      </x:c>
      <x:c r="S96" t="n">
        <x:v>21</x:v>
      </x:c>
      <x:c r="T96" t="n">
        <x:v>18</x:v>
      </x:c>
      <x:c r="U96" t="n">
        <x:v>56.476190476</x:v>
      </x:c>
      <x:c r="V96" t="n">
        <x:v>65.888888889</x:v>
      </x:c>
      <x:c r="W96" t="n">
        <x:v>80</x:v>
      </x:c>
      <x:c r="X96" t="n">
        <x:v>29.666666667</x:v>
      </x:c>
      <x:c r="Y96" t="n">
        <x:v>32</x:v>
      </x:c>
    </x:row>
    <x:row r="97">
      <x:c r="A97" t="str">
        <x:v>w8_v32</x:v>
      </x:c>
      <x:c r="B97" t="n">
        <x:v>8</x:v>
      </x:c>
      <x:c r="C97" t="n">
        <x:v>32</x:v>
      </x:c>
      <x:c r="D97" t="n">
        <x:v>6</x:v>
      </x:c>
      <x:c r="E97" t="n">
        <x:v>373138</x:v>
      </x:c>
      <x:c r="F97" t="n">
        <x:v>95</x:v>
      </x:c>
      <x:c r="G97" t="str">
        <x:v>ng-dgx-m0-08.cloud.r-ccs.riken.jp</x:v>
      </x:c>
      <x:c r="H97" t="str">
        <x:v>NVIDIA GB10</x:v>
      </x:c>
      <x:c r="I97" t="n">
        <x:v>0</x:v>
      </x:c>
      <x:c r="J97" t="n">
        <x:v>20.63</x:v>
      </x:c>
      <x:c r="K97" t="n">
        <x:v>20.65</x:v>
      </x:c>
      <x:c r="L97" t="n">
        <x:v>21.14</x:v>
      </x:c>
      <x:c r="M97" t="n">
        <x:v>21.68</x:v>
      </x:c>
      <x:c r="N97" t="n">
        <x:v>377156</x:v>
      </x:c>
      <x:c r="O97" t="n">
        <x:v>0.625129946975</x:v>
      </x:c>
      <x:c r="P97" t="n">
        <x:v>0.622916188574</x:v>
      </x:c>
      <x:c r="Q97" t="n">
        <x:v>0.00083995</x:v>
      </x:c>
      <x:c r="R97" t="str">
        <x:v>Accepted</x:v>
      </x:c>
      <x:c r="S97" t="n">
        <x:v>23</x:v>
      </x:c>
      <x:c r="T97" t="n">
        <x:v>20</x:v>
      </x:c>
      <x:c r="U97" t="n">
        <x:v>56.260869565</x:v>
      </x:c>
      <x:c r="V97" t="n">
        <x:v>64.7</x:v>
      </x:c>
      <x:c r="W97" t="n">
        <x:v>81</x:v>
      </x:c>
      <x:c r="X97" t="n">
        <x:v>26.25</x:v>
      </x:c>
      <x:c r="Y97" t="n">
        <x:v>29</x:v>
      </x:c>
    </x:row>
    <x:row r="98">
      <x:c r="A98" t="str">
        <x:v>w8_v32</x:v>
      </x:c>
      <x:c r="B98" t="n">
        <x:v>8</x:v>
      </x:c>
      <x:c r="C98" t="n">
        <x:v>32</x:v>
      </x:c>
      <x:c r="D98" t="n">
        <x:v>7</x:v>
      </x:c>
      <x:c r="E98" t="n">
        <x:v>373138</x:v>
      </x:c>
      <x:c r="F98" t="n">
        <x:v>96</x:v>
      </x:c>
      <x:c r="G98" t="str">
        <x:v>ng-dgx-m0-09.cloud.r-ccs.riken.jp</x:v>
      </x:c>
      <x:c r="H98" t="str">
        <x:v>NVIDIA GB10</x:v>
      </x:c>
      <x:c r="I98" t="n">
        <x:v>0</x:v>
      </x:c>
      <x:c r="J98" t="n">
        <x:v>20</x:v>
      </x:c>
      <x:c r="K98" t="n">
        <x:v>20.01</x:v>
      </x:c>
      <x:c r="L98" t="n">
        <x:v>20.42</x:v>
      </x:c>
      <x:c r="M98" t="n">
        <x:v>20.94</x:v>
      </x:c>
      <x:c r="N98" t="n">
        <x:v>376512</x:v>
      </x:c>
      <x:c r="O98" t="n">
        <x:v>0.625129946975</x:v>
      </x:c>
      <x:c r="P98" t="n">
        <x:v>0.622916188574</x:v>
      </x:c>
      <x:c r="Q98" t="n">
        <x:v>0.00083995</x:v>
      </x:c>
      <x:c r="R98" t="str">
        <x:v>Accepted</x:v>
      </x:c>
      <x:c r="S98" t="n">
        <x:v>22</x:v>
      </x:c>
      <x:c r="T98" t="n">
        <x:v>19</x:v>
      </x:c>
      <x:c r="U98" t="n">
        <x:v>54.409090909</x:v>
      </x:c>
      <x:c r="V98" t="n">
        <x:v>63</x:v>
      </x:c>
      <x:c r="W98" t="n">
        <x:v>81</x:v>
      </x:c>
      <x:c r="X98" t="n">
        <x:v>29.526315789</x:v>
      </x:c>
      <x:c r="Y98" t="n">
        <x:v>32</x:v>
      </x:c>
    </x:row>
    <x:row r="99">
      <x:c r="A99" t="str">
        <x:v>w8_v32</x:v>
      </x:c>
      <x:c r="B99" t="n">
        <x:v>8</x:v>
      </x:c>
      <x:c r="C99" t="n">
        <x:v>32</x:v>
      </x:c>
      <x:c r="D99" t="n">
        <x:v>8</x:v>
      </x:c>
      <x:c r="E99" t="n">
        <x:v>373138</x:v>
      </x:c>
      <x:c r="F99" t="n">
        <x:v>97</x:v>
      </x:c>
      <x:c r="G99" t="str">
        <x:v>ng-dgx-m0-08.cloud.r-ccs.riken.jp</x:v>
      </x:c>
      <x:c r="H99" t="str">
        <x:v>NVIDIA GB10</x:v>
      </x:c>
      <x:c r="I99" t="n">
        <x:v>0</x:v>
      </x:c>
      <x:c r="J99" t="n">
        <x:v>20.48</x:v>
      </x:c>
      <x:c r="K99" t="n">
        <x:v>20.49</x:v>
      </x:c>
      <x:c r="L99" t="n">
        <x:v>20.92</x:v>
      </x:c>
      <x:c r="M99" t="n">
        <x:v>21.43</x:v>
      </x:c>
      <x:c r="N99" t="n">
        <x:v>377136</x:v>
      </x:c>
      <x:c r="O99" t="n">
        <x:v>0.625129946975</x:v>
      </x:c>
      <x:c r="P99" t="n">
        <x:v>0.622916188574</x:v>
      </x:c>
      <x:c r="Q99" t="n">
        <x:v>0.00083995</x:v>
      </x:c>
      <x:c r="R99" t="str">
        <x:v>Accepted</x:v>
      </x:c>
      <x:c r="S99" t="n">
        <x:v>23</x:v>
      </x:c>
      <x:c r="T99" t="n">
        <x:v>19</x:v>
      </x:c>
      <x:c r="U99" t="n">
        <x:v>55.391304348</x:v>
      </x:c>
      <x:c r="V99" t="n">
        <x:v>67.052631579</x:v>
      </x:c>
      <x:c r="W99" t="n">
        <x:v>81</x:v>
      </x:c>
      <x:c r="X99" t="n">
        <x:v>26.578947368</x:v>
      </x:c>
      <x:c r="Y99" t="n">
        <x:v>29</x:v>
      </x:c>
    </x:row>
    <x:row r="100">
      <x:c r="A100" t="str">
        <x:v>w8_v32</x:v>
      </x:c>
      <x:c r="B100" t="n">
        <x:v>8</x:v>
      </x:c>
      <x:c r="C100" t="n">
        <x:v>32</x:v>
      </x:c>
      <x:c r="D100" t="n">
        <x:v>9</x:v>
      </x:c>
      <x:c r="E100" t="n">
        <x:v>373138</x:v>
      </x:c>
      <x:c r="F100" t="n">
        <x:v>98</x:v>
      </x:c>
      <x:c r="G100" t="str">
        <x:v>ng-dgx-m0-09.cloud.r-ccs.riken.jp</x:v>
      </x:c>
      <x:c r="H100" t="str">
        <x:v>NVIDIA GB10</x:v>
      </x:c>
      <x:c r="I100" t="n">
        <x:v>0</x:v>
      </x:c>
      <x:c r="J100" t="n">
        <x:v>19.91</x:v>
      </x:c>
      <x:c r="K100" t="n">
        <x:v>19.92</x:v>
      </x:c>
      <x:c r="L100" t="n">
        <x:v>20.33</x:v>
      </x:c>
      <x:c r="M100" t="n">
        <x:v>20.83</x:v>
      </x:c>
      <x:c r="N100" t="n">
        <x:v>376656</x:v>
      </x:c>
      <x:c r="O100" t="n">
        <x:v>0.625129946975</x:v>
      </x:c>
      <x:c r="P100" t="n">
        <x:v>0.622916188574</x:v>
      </x:c>
      <x:c r="Q100" t="n">
        <x:v>0.00083995</x:v>
      </x:c>
      <x:c r="R100" t="str">
        <x:v>Accepted</x:v>
      </x:c>
      <x:c r="S100" t="n">
        <x:v>21</x:v>
      </x:c>
      <x:c r="T100" t="n">
        <x:v>19</x:v>
      </x:c>
      <x:c r="U100" t="n">
        <x:v>58.761904762</x:v>
      </x:c>
      <x:c r="V100" t="n">
        <x:v>64.947368421</x:v>
      </x:c>
      <x:c r="W100" t="n">
        <x:v>80</x:v>
      </x:c>
      <x:c r="X100" t="n">
        <x:v>29.315789474</x:v>
      </x:c>
      <x:c r="Y100" t="n">
        <x:v>32</x:v>
      </x:c>
    </x:row>
    <x:row r="101">
      <x:c r="A101" t="str">
        <x:v>w8_v32</x:v>
      </x:c>
      <x:c r="B101" t="n">
        <x:v>8</x:v>
      </x:c>
      <x:c r="C101" t="n">
        <x:v>32</x:v>
      </x:c>
      <x:c r="D101" t="n">
        <x:v>10</x:v>
      </x:c>
      <x:c r="E101" t="n">
        <x:v>373138</x:v>
      </x:c>
      <x:c r="F101" t="n">
        <x:v>99</x:v>
      </x:c>
      <x:c r="G101" t="str">
        <x:v>ng-dgx-m0-09.cloud.r-ccs.riken.jp</x:v>
      </x:c>
      <x:c r="H101" t="str">
        <x:v>NVIDIA GB10</x:v>
      </x:c>
      <x:c r="I101" t="n">
        <x:v>0</x:v>
      </x:c>
      <x:c r="J101" t="n">
        <x:v>20.27</x:v>
      </x:c>
      <x:c r="K101" t="n">
        <x:v>20.29</x:v>
      </x:c>
      <x:c r="L101" t="n">
        <x:v>20.75</x:v>
      </x:c>
      <x:c r="M101" t="n">
        <x:v>21.28</x:v>
      </x:c>
      <x:c r="N101" t="n">
        <x:v>377020</x:v>
      </x:c>
      <x:c r="O101" t="n">
        <x:v>0.625129946975</x:v>
      </x:c>
      <x:c r="P101" t="n">
        <x:v>0.622916188574</x:v>
      </x:c>
      <x:c r="Q101" t="n">
        <x:v>0.00083995</x:v>
      </x:c>
      <x:c r="R101" t="str">
        <x:v>Accepted</x:v>
      </x:c>
      <x:c r="S101" t="n">
        <x:v>22</x:v>
      </x:c>
      <x:c r="T101" t="n">
        <x:v>19</x:v>
      </x:c>
      <x:c r="U101" t="n">
        <x:v>55.227272727</x:v>
      </x:c>
      <x:c r="V101" t="n">
        <x:v>63.947368421</x:v>
      </x:c>
      <x:c r="W101" t="n">
        <x:v>81</x:v>
      </x:c>
      <x:c r="X101" t="n">
        <x:v>29.210526316</x:v>
      </x:c>
      <x:c r="Y101" t="n">
        <x:v>31</x:v>
      </x:c>
    </x:row>
    <x:row r="102">
      <x:c r="A102" t="str">
        <x:v>w8_v64</x:v>
      </x:c>
      <x:c r="B102" t="n">
        <x:v>8</x:v>
      </x:c>
      <x:c r="C102" t="n">
        <x:v>64</x:v>
      </x:c>
      <x:c r="D102" t="n">
        <x:v>1</x:v>
      </x:c>
      <x:c r="E102" t="n">
        <x:v>373138</x:v>
      </x:c>
      <x:c r="F102" t="n">
        <x:v>100</x:v>
      </x:c>
      <x:c r="G102" t="str">
        <x:v>ng-dgx-m0-08.cloud.r-ccs.riken.jp</x:v>
      </x:c>
      <x:c r="H102" t="str">
        <x:v>NVIDIA GB10</x:v>
      </x:c>
      <x:c r="I102" t="n">
        <x:v>0</x:v>
      </x:c>
      <x:c r="J102" t="n">
        <x:v>22.32</x:v>
      </x:c>
      <x:c r="K102" t="n">
        <x:v>22.34</x:v>
      </x:c>
      <x:c r="L102" t="n">
        <x:v>22.74</x:v>
      </x:c>
      <x:c r="M102" t="n">
        <x:v>23.29</x:v>
      </x:c>
      <x:c r="N102" t="n">
        <x:v>376996</x:v>
      </x:c>
      <x:c r="O102" t="n">
        <x:v>0.625129946975</x:v>
      </x:c>
      <x:c r="P102" t="n">
        <x:v>0.622916188574</x:v>
      </x:c>
      <x:c r="Q102" t="n">
        <x:v>0.00083995</x:v>
      </x:c>
      <x:c r="R102" t="str">
        <x:v>Accepted</x:v>
      </x:c>
      <x:c r="S102" t="n">
        <x:v>24</x:v>
      </x:c>
      <x:c r="T102" t="n">
        <x:v>22</x:v>
      </x:c>
      <x:c r="U102" t="n">
        <x:v>59.041666667</x:v>
      </x:c>
      <x:c r="V102" t="n">
        <x:v>64.409090909</x:v>
      </x:c>
      <x:c r="W102" t="n">
        <x:v>82</x:v>
      </x:c>
      <x:c r="X102" t="n">
        <x:v>25.818181818</x:v>
      </x:c>
      <x:c r="Y102" t="n">
        <x:v>28</x:v>
      </x:c>
    </x:row>
    <x:row r="103">
      <x:c r="A103" t="str">
        <x:v>w8_v64</x:v>
      </x:c>
      <x:c r="B103" t="n">
        <x:v>8</x:v>
      </x:c>
      <x:c r="C103" t="n">
        <x:v>64</x:v>
      </x:c>
      <x:c r="D103" t="n">
        <x:v>2</x:v>
      </x:c>
      <x:c r="E103" t="n">
        <x:v>373138</x:v>
      </x:c>
      <x:c r="F103" t="n">
        <x:v>101</x:v>
      </x:c>
      <x:c r="G103" t="str">
        <x:v>ng-dgx-m0-09.cloud.r-ccs.riken.jp</x:v>
      </x:c>
      <x:c r="H103" t="str">
        <x:v>NVIDIA GB10</x:v>
      </x:c>
      <x:c r="I103" t="n">
        <x:v>0</x:v>
      </x:c>
      <x:c r="J103" t="n">
        <x:v>21.87</x:v>
      </x:c>
      <x:c r="K103" t="n">
        <x:v>21.88</x:v>
      </x:c>
      <x:c r="L103" t="n">
        <x:v>22.3</x:v>
      </x:c>
      <x:c r="M103" t="n">
        <x:v>22.81</x:v>
      </x:c>
      <x:c r="N103" t="n">
        <x:v>377056</x:v>
      </x:c>
      <x:c r="O103" t="n">
        <x:v>0.625129946975</x:v>
      </x:c>
      <x:c r="P103" t="n">
        <x:v>0.622916188574</x:v>
      </x:c>
      <x:c r="Q103" t="n">
        <x:v>0.00083995</x:v>
      </x:c>
      <x:c r="R103" t="str">
        <x:v>Accepted</x:v>
      </x:c>
      <x:c r="S103" t="n">
        <x:v>24</x:v>
      </x:c>
      <x:c r="T103" t="n">
        <x:v>20</x:v>
      </x:c>
      <x:c r="U103" t="n">
        <x:v>58.958333333</x:v>
      </x:c>
      <x:c r="V103" t="n">
        <x:v>70.75</x:v>
      </x:c>
      <x:c r="W103" t="n">
        <x:v>82</x:v>
      </x:c>
      <x:c r="X103" t="n">
        <x:v>28.7</x:v>
      </x:c>
      <x:c r="Y103" t="n">
        <x:v>31</x:v>
      </x:c>
    </x:row>
    <x:row r="104">
      <x:c r="A104" t="str">
        <x:v>w8_v64</x:v>
      </x:c>
      <x:c r="B104" t="n">
        <x:v>8</x:v>
      </x:c>
      <x:c r="C104" t="n">
        <x:v>64</x:v>
      </x:c>
      <x:c r="D104" t="n">
        <x:v>3</x:v>
      </x:c>
      <x:c r="E104" t="n">
        <x:v>373138</x:v>
      </x:c>
      <x:c r="F104" t="n">
        <x:v>102</x:v>
      </x:c>
      <x:c r="G104" t="str">
        <x:v>ng-dgx-m0-08.cloud.r-ccs.riken.jp</x:v>
      </x:c>
      <x:c r="H104" t="str">
        <x:v>NVIDIA GB10</x:v>
      </x:c>
      <x:c r="I104" t="n">
        <x:v>0</x:v>
      </x:c>
      <x:c r="J104" t="n">
        <x:v>22.78</x:v>
      </x:c>
      <x:c r="K104" t="n">
        <x:v>22.8</x:v>
      </x:c>
      <x:c r="L104" t="n">
        <x:v>23.27</x:v>
      </x:c>
      <x:c r="M104" t="n">
        <x:v>23.79</x:v>
      </x:c>
      <x:c r="N104" t="n">
        <x:v>377140</x:v>
      </x:c>
      <x:c r="O104" t="n">
        <x:v>0.625129946975</x:v>
      </x:c>
      <x:c r="P104" t="n">
        <x:v>0.622916188574</x:v>
      </x:c>
      <x:c r="Q104" t="n">
        <x:v>0.00083995</x:v>
      </x:c>
      <x:c r="R104" t="str">
        <x:v>Accepted</x:v>
      </x:c>
      <x:c r="S104" t="n">
        <x:v>25</x:v>
      </x:c>
      <x:c r="T104" t="n">
        <x:v>22</x:v>
      </x:c>
      <x:c r="U104" t="n">
        <x:v>56.76</x:v>
      </x:c>
      <x:c r="V104" t="n">
        <x:v>64.5</x:v>
      </x:c>
      <x:c r="W104" t="n">
        <x:v>82</x:v>
      </x:c>
      <x:c r="X104" t="n">
        <x:v>25.454545455</x:v>
      </x:c>
      <x:c r="Y104" t="n">
        <x:v>28</x:v>
      </x:c>
    </x:row>
    <x:row r="105">
      <x:c r="A105" t="str">
        <x:v>w8_v64</x:v>
      </x:c>
      <x:c r="B105" t="n">
        <x:v>8</x:v>
      </x:c>
      <x:c r="C105" t="n">
        <x:v>64</x:v>
      </x:c>
      <x:c r="D105" t="n">
        <x:v>4</x:v>
      </x:c>
      <x:c r="E105" t="n">
        <x:v>373138</x:v>
      </x:c>
      <x:c r="F105" t="n">
        <x:v>103</x:v>
      </x:c>
      <x:c r="G105" t="str">
        <x:v>ng-dgx-m0-09.cloud.r-ccs.riken.jp</x:v>
      </x:c>
      <x:c r="H105" t="str">
        <x:v>NVIDIA GB10</x:v>
      </x:c>
      <x:c r="I105" t="n">
        <x:v>0</x:v>
      </x:c>
      <x:c r="J105" t="n">
        <x:v>22.36</x:v>
      </x:c>
      <x:c r="K105" t="n">
        <x:v>22.37</x:v>
      </x:c>
      <x:c r="L105" t="n">
        <x:v>22.79</x:v>
      </x:c>
      <x:c r="M105" t="n">
        <x:v>23.31</x:v>
      </x:c>
      <x:c r="N105" t="n">
        <x:v>376404</x:v>
      </x:c>
      <x:c r="O105" t="n">
        <x:v>0.625129946975</x:v>
      </x:c>
      <x:c r="P105" t="n">
        <x:v>0.622916188574</x:v>
      </x:c>
      <x:c r="Q105" t="n">
        <x:v>0.00083995</x:v>
      </x:c>
      <x:c r="R105" t="str">
        <x:v>Accepted</x:v>
      </x:c>
      <x:c r="S105" t="n">
        <x:v>25</x:v>
      </x:c>
      <x:c r="T105" t="n">
        <x:v>21</x:v>
      </x:c>
      <x:c r="U105" t="n">
        <x:v>56.64</x:v>
      </x:c>
      <x:c r="V105" t="n">
        <x:v>67.428571429</x:v>
      </x:c>
      <x:c r="W105" t="n">
        <x:v>82</x:v>
      </x:c>
      <x:c r="X105" t="n">
        <x:v>28.571428571</x:v>
      </x:c>
      <x:c r="Y105" t="n">
        <x:v>31</x:v>
      </x:c>
    </x:row>
    <x:row r="106">
      <x:c r="A106" t="str">
        <x:v>w8_v64</x:v>
      </x:c>
      <x:c r="B106" t="n">
        <x:v>8</x:v>
      </x:c>
      <x:c r="C106" t="n">
        <x:v>64</x:v>
      </x:c>
      <x:c r="D106" t="n">
        <x:v>5</x:v>
      </x:c>
      <x:c r="E106" t="n">
        <x:v>373138</x:v>
      </x:c>
      <x:c r="F106" t="n">
        <x:v>104</x:v>
      </x:c>
      <x:c r="G106" t="str">
        <x:v>ng-dgx-m0-08.cloud.r-ccs.riken.jp</x:v>
      </x:c>
      <x:c r="H106" t="str">
        <x:v>NVIDIA GB10</x:v>
      </x:c>
      <x:c r="I106" t="n">
        <x:v>0</x:v>
      </x:c>
      <x:c r="J106" t="n">
        <x:v>22.46</x:v>
      </x:c>
      <x:c r="K106" t="n">
        <x:v>22.48</x:v>
      </x:c>
      <x:c r="L106" t="n">
        <x:v>22.97</x:v>
      </x:c>
      <x:c r="M106" t="n">
        <x:v>23.49</x:v>
      </x:c>
      <x:c r="N106" t="n">
        <x:v>377180</x:v>
      </x:c>
      <x:c r="O106" t="n">
        <x:v>0.625129946975</x:v>
      </x:c>
      <x:c r="P106" t="n">
        <x:v>0.622916188574</x:v>
      </x:c>
      <x:c r="Q106" t="n">
        <x:v>0.00083995</x:v>
      </x:c>
      <x:c r="R106" t="str">
        <x:v>Accepted</x:v>
      </x:c>
      <x:c r="S106" t="n">
        <x:v>24</x:v>
      </x:c>
      <x:c r="T106" t="n">
        <x:v>22</x:v>
      </x:c>
      <x:c r="U106" t="n">
        <x:v>67.791666667</x:v>
      </x:c>
      <x:c r="V106" t="n">
        <x:v>73.954545455</x:v>
      </x:c>
      <x:c r="W106" t="n">
        <x:v>82</x:v>
      </x:c>
      <x:c r="X106" t="n">
        <x:v>25.636363636</x:v>
      </x:c>
      <x:c r="Y106" t="n">
        <x:v>28</x:v>
      </x:c>
    </x:row>
    <x:row r="107">
      <x:c r="A107" t="str">
        <x:v>w8_v64</x:v>
      </x:c>
      <x:c r="B107" t="n">
        <x:v>8</x:v>
      </x:c>
      <x:c r="C107" t="n">
        <x:v>64</x:v>
      </x:c>
      <x:c r="D107" t="n">
        <x:v>6</x:v>
      </x:c>
      <x:c r="E107" t="n">
        <x:v>373138</x:v>
      </x:c>
      <x:c r="F107" t="n">
        <x:v>105</x:v>
      </x:c>
      <x:c r="G107" t="str">
        <x:v>ng-dgx-m0-09.cloud.r-ccs.riken.jp</x:v>
      </x:c>
      <x:c r="H107" t="str">
        <x:v>NVIDIA GB10</x:v>
      </x:c>
      <x:c r="I107" t="n">
        <x:v>0</x:v>
      </x:c>
      <x:c r="J107" t="n">
        <x:v>22.45</x:v>
      </x:c>
      <x:c r="K107" t="n">
        <x:v>22.47</x:v>
      </x:c>
      <x:c r="L107" t="n">
        <x:v>22.89</x:v>
      </x:c>
      <x:c r="M107" t="n">
        <x:v>23.39</x:v>
      </x:c>
      <x:c r="N107" t="n">
        <x:v>375324</x:v>
      </x:c>
      <x:c r="O107" t="n">
        <x:v>0.625129946975</x:v>
      </x:c>
      <x:c r="P107" t="n">
        <x:v>0.622916188574</x:v>
      </x:c>
      <x:c r="Q107" t="n">
        <x:v>0.00083995</x:v>
      </x:c>
      <x:c r="R107" t="str">
        <x:v>Accepted</x:v>
      </x:c>
      <x:c r="S107" t="n">
        <x:v>24</x:v>
      </x:c>
      <x:c r="T107" t="n">
        <x:v>22</x:v>
      </x:c>
      <x:c r="U107" t="n">
        <x:v>65.125</x:v>
      </x:c>
      <x:c r="V107" t="n">
        <x:v>71.045454545</x:v>
      </x:c>
      <x:c r="W107" t="n">
        <x:v>82</x:v>
      </x:c>
      <x:c r="X107" t="n">
        <x:v>28.727272727</x:v>
      </x:c>
      <x:c r="Y107" t="n">
        <x:v>31</x:v>
      </x:c>
    </x:row>
    <x:row r="108">
      <x:c r="A108" t="str">
        <x:v>w8_v64</x:v>
      </x:c>
      <x:c r="B108" t="n">
        <x:v>8</x:v>
      </x:c>
      <x:c r="C108" t="n">
        <x:v>64</x:v>
      </x:c>
      <x:c r="D108" t="n">
        <x:v>7</x:v>
      </x:c>
      <x:c r="E108" t="n">
        <x:v>373138</x:v>
      </x:c>
      <x:c r="F108" t="n">
        <x:v>106</x:v>
      </x:c>
      <x:c r="G108" t="str">
        <x:v>ng-dgx-m0-08.cloud.r-ccs.riken.jp</x:v>
      </x:c>
      <x:c r="H108" t="str">
        <x:v>NVIDIA GB10</x:v>
      </x:c>
      <x:c r="I108" t="n">
        <x:v>0</x:v>
      </x:c>
      <x:c r="J108" t="n">
        <x:v>22.88</x:v>
      </x:c>
      <x:c r="K108" t="n">
        <x:v>22.89</x:v>
      </x:c>
      <x:c r="L108" t="n">
        <x:v>23.34</x:v>
      </x:c>
      <x:c r="M108" t="n">
        <x:v>23.88</x:v>
      </x:c>
      <x:c r="N108" t="n">
        <x:v>376588</x:v>
      </x:c>
      <x:c r="O108" t="n">
        <x:v>0.625129946975</x:v>
      </x:c>
      <x:c r="P108" t="n">
        <x:v>0.622916188574</x:v>
      </x:c>
      <x:c r="Q108" t="n">
        <x:v>0.00083995</x:v>
      </x:c>
      <x:c r="R108" t="str">
        <x:v>Accepted</x:v>
      </x:c>
      <x:c r="S108" t="n">
        <x:v>25</x:v>
      </x:c>
      <x:c r="T108" t="n">
        <x:v>22</x:v>
      </x:c>
      <x:c r="U108" t="n">
        <x:v>59.12</x:v>
      </x:c>
      <x:c r="V108" t="n">
        <x:v>67.181818182</x:v>
      </x:c>
      <x:c r="W108" t="n">
        <x:v>82</x:v>
      </x:c>
      <x:c r="X108" t="n">
        <x:v>25.5</x:v>
      </x:c>
      <x:c r="Y108" t="n">
        <x:v>28</x:v>
      </x:c>
    </x:row>
    <x:row r="109">
      <x:c r="A109" t="str">
        <x:v>w8_v64</x:v>
      </x:c>
      <x:c r="B109" t="n">
        <x:v>8</x:v>
      </x:c>
      <x:c r="C109" t="n">
        <x:v>64</x:v>
      </x:c>
      <x:c r="D109" t="n">
        <x:v>8</x:v>
      </x:c>
      <x:c r="E109" t="n">
        <x:v>373138</x:v>
      </x:c>
      <x:c r="F109" t="n">
        <x:v>107</x:v>
      </x:c>
      <x:c r="G109" t="str">
        <x:v>ng-dgx-m0-09.cloud.r-ccs.riken.jp</x:v>
      </x:c>
      <x:c r="H109" t="str">
        <x:v>NVIDIA GB10</x:v>
      </x:c>
      <x:c r="I109" t="n">
        <x:v>0</x:v>
      </x:c>
      <x:c r="J109" t="n">
        <x:v>22</x:v>
      </x:c>
      <x:c r="K109" t="n">
        <x:v>22.02</x:v>
      </x:c>
      <x:c r="L109" t="n">
        <x:v>22.44</x:v>
      </x:c>
      <x:c r="M109" t="n">
        <x:v>22.96</x:v>
      </x:c>
      <x:c r="N109" t="n">
        <x:v>376844</x:v>
      </x:c>
      <x:c r="O109" t="n">
        <x:v>0.625129946975</x:v>
      </x:c>
      <x:c r="P109" t="n">
        <x:v>0.622916188574</x:v>
      </x:c>
      <x:c r="Q109" t="n">
        <x:v>0.00083995</x:v>
      </x:c>
      <x:c r="R109" t="str">
        <x:v>Accepted</x:v>
      </x:c>
      <x:c r="S109" t="n">
        <x:v>24</x:v>
      </x:c>
      <x:c r="T109" t="n">
        <x:v>19</x:v>
      </x:c>
      <x:c r="U109" t="n">
        <x:v>55.208333333</x:v>
      </x:c>
      <x:c r="V109" t="n">
        <x:v>69.736842105</x:v>
      </x:c>
      <x:c r="W109" t="n">
        <x:v>82</x:v>
      </x:c>
      <x:c r="X109" t="n">
        <x:v>29.210526316</x:v>
      </x:c>
      <x:c r="Y109" t="n">
        <x:v>31</x:v>
      </x:c>
    </x:row>
    <x:row r="110">
      <x:c r="A110" t="str">
        <x:v>w8_v64</x:v>
      </x:c>
      <x:c r="B110" t="n">
        <x:v>8</x:v>
      </x:c>
      <x:c r="C110" t="n">
        <x:v>64</x:v>
      </x:c>
      <x:c r="D110" t="n">
        <x:v>9</x:v>
      </x:c>
      <x:c r="E110" t="n">
        <x:v>373138</x:v>
      </x:c>
      <x:c r="F110" t="n">
        <x:v>108</x:v>
      </x:c>
      <x:c r="G110" t="str">
        <x:v>ng-dgx-m0-08.cloud.r-ccs.riken.jp</x:v>
      </x:c>
      <x:c r="H110" t="str">
        <x:v>NVIDIA GB10</x:v>
      </x:c>
      <x:c r="I110" t="n">
        <x:v>0</x:v>
      </x:c>
      <x:c r="J110" t="n">
        <x:v>22.59</x:v>
      </x:c>
      <x:c r="K110" t="n">
        <x:v>22.6</x:v>
      </x:c>
      <x:c r="L110" t="n">
        <x:v>23.01</x:v>
      </x:c>
      <x:c r="M110" t="n">
        <x:v>23.59</x:v>
      </x:c>
      <x:c r="N110" t="n">
        <x:v>377140</x:v>
      </x:c>
      <x:c r="O110" t="n">
        <x:v>0.625129946975</x:v>
      </x:c>
      <x:c r="P110" t="n">
        <x:v>0.622916188574</x:v>
      </x:c>
      <x:c r="Q110" t="n">
        <x:v>0.00083995</x:v>
      </x:c>
      <x:c r="R110" t="str">
        <x:v>Accepted</x:v>
      </x:c>
      <x:c r="S110" t="n">
        <x:v>24</x:v>
      </x:c>
      <x:c r="T110" t="n">
        <x:v>22</x:v>
      </x:c>
      <x:c r="U110" t="n">
        <x:v>65.583333333</x:v>
      </x:c>
      <x:c r="V110" t="n">
        <x:v>71.545454545</x:v>
      </x:c>
      <x:c r="W110" t="n">
        <x:v>82</x:v>
      </x:c>
      <x:c r="X110" t="n">
        <x:v>25.454545455</x:v>
      </x:c>
      <x:c r="Y110" t="n">
        <x:v>28</x:v>
      </x:c>
    </x:row>
    <x:row r="111">
      <x:c r="A111" t="str">
        <x:v>w8_v64</x:v>
      </x:c>
      <x:c r="B111" t="n">
        <x:v>8</x:v>
      </x:c>
      <x:c r="C111" t="n">
        <x:v>64</x:v>
      </x:c>
      <x:c r="D111" t="n">
        <x:v>10</x:v>
      </x:c>
      <x:c r="E111" t="n">
        <x:v>373138</x:v>
      </x:c>
      <x:c r="F111" t="n">
        <x:v>109</x:v>
      </x:c>
      <x:c r="G111" t="str">
        <x:v>ng-dgx-m0-09.cloud.r-ccs.riken.jp</x:v>
      </x:c>
      <x:c r="H111" t="str">
        <x:v>NVIDIA GB10</x:v>
      </x:c>
      <x:c r="I111" t="n">
        <x:v>0</x:v>
      </x:c>
      <x:c r="J111" t="n">
        <x:v>22.03</x:v>
      </x:c>
      <x:c r="K111" t="n">
        <x:v>22.04</x:v>
      </x:c>
      <x:c r="L111" t="n">
        <x:v>22.47</x:v>
      </x:c>
      <x:c r="M111" t="n">
        <x:v>22.99</x:v>
      </x:c>
      <x:c r="N111" t="n">
        <x:v>376736</x:v>
      </x:c>
      <x:c r="O111" t="n">
        <x:v>0.625129946975</x:v>
      </x:c>
      <x:c r="P111" t="n">
        <x:v>0.622916188574</x:v>
      </x:c>
      <x:c r="Q111" t="n">
        <x:v>0.00083995</x:v>
      </x:c>
      <x:c r="R111" t="str">
        <x:v>Accepted</x:v>
      </x:c>
      <x:c r="S111" t="n">
        <x:v>23</x:v>
      </x:c>
      <x:c r="T111" t="n">
        <x:v>20</x:v>
      </x:c>
      <x:c r="U111" t="n">
        <x:v>60</x:v>
      </x:c>
      <x:c r="V111" t="n">
        <x:v>69</x:v>
      </x:c>
      <x:c r="W111" t="n">
        <x:v>82</x:v>
      </x:c>
      <x:c r="X111" t="n">
        <x:v>29.25</x:v>
      </x:c>
      <x:c r="Y111" t="n">
        <x:v>31</x:v>
      </x:c>
    </x:row>
    <x:row r="112">
      <x:c r="A112" t="str">
        <x:v>w8_v128</x:v>
      </x:c>
      <x:c r="B112" t="n">
        <x:v>8</x:v>
      </x:c>
      <x:c r="C112" t="n">
        <x:v>128</x:v>
      </x:c>
      <x:c r="D112" t="n">
        <x:v>1</x:v>
      </x:c>
      <x:c r="E112" t="n">
        <x:v>373138</x:v>
      </x:c>
      <x:c r="F112" t="n">
        <x:v>110</x:v>
      </x:c>
      <x:c r="G112" t="str">
        <x:v>ng-dgx-m0-08.cloud.r-ccs.riken.jp</x:v>
      </x:c>
      <x:c r="H112" t="str">
        <x:v>NVIDIA GB10</x:v>
      </x:c>
      <x:c r="I112" t="n">
        <x:v>0</x:v>
      </x:c>
      <x:c r="J112" t="n">
        <x:v>29.23</x:v>
      </x:c>
      <x:c r="K112" t="n">
        <x:v>29.25</x:v>
      </x:c>
      <x:c r="L112" t="n">
        <x:v>29.67</x:v>
      </x:c>
      <x:c r="M112" t="n">
        <x:v>30.19</x:v>
      </x:c>
      <x:c r="N112" t="n">
        <x:v>377928</x:v>
      </x:c>
      <x:c r="O112" t="n">
        <x:v>0.625129946975</x:v>
      </x:c>
      <x:c r="P112" t="n">
        <x:v>0.622916188574</x:v>
      </x:c>
      <x:c r="Q112" t="n">
        <x:v>0.00083995</x:v>
      </x:c>
      <x:c r="R112" t="str">
        <x:v>Accepted</x:v>
      </x:c>
      <x:c r="S112" t="n">
        <x:v>31</x:v>
      </x:c>
      <x:c r="T112" t="n">
        <x:v>28</x:v>
      </x:c>
      <x:c r="U112" t="n">
        <x:v>65.612903226</x:v>
      </x:c>
      <x:c r="V112" t="n">
        <x:v>72.642857143</x:v>
      </x:c>
      <x:c r="W112" t="n">
        <x:v>87</x:v>
      </x:c>
      <x:c r="X112" t="n">
        <x:v>25.535714286</x:v>
      </x:c>
      <x:c r="Y112" t="n">
        <x:v>28</x:v>
      </x:c>
    </x:row>
    <x:row r="113">
      <x:c r="A113" t="str">
        <x:v>w8_v128</x:v>
      </x:c>
      <x:c r="B113" t="n">
        <x:v>8</x:v>
      </x:c>
      <x:c r="C113" t="n">
        <x:v>128</x:v>
      </x:c>
      <x:c r="D113" t="n">
        <x:v>2</x:v>
      </x:c>
      <x:c r="E113" t="n">
        <x:v>373138</x:v>
      </x:c>
      <x:c r="F113" t="n">
        <x:v>111</x:v>
      </x:c>
      <x:c r="G113" t="str">
        <x:v>ng-dgx-m0-09.cloud.r-ccs.riken.jp</x:v>
      </x:c>
      <x:c r="H113" t="str">
        <x:v>NVIDIA GB10</x:v>
      </x:c>
      <x:c r="I113" t="n">
        <x:v>0</x:v>
      </x:c>
      <x:c r="J113" t="n">
        <x:v>28.76</x:v>
      </x:c>
      <x:c r="K113" t="n">
        <x:v>28.77</x:v>
      </x:c>
      <x:c r="L113" t="n">
        <x:v>29.21</x:v>
      </x:c>
      <x:c r="M113" t="n">
        <x:v>29.71</x:v>
      </x:c>
      <x:c r="N113" t="n">
        <x:v>378152</x:v>
      </x:c>
      <x:c r="O113" t="n">
        <x:v>0.625129946975</x:v>
      </x:c>
      <x:c r="P113" t="n">
        <x:v>0.622916188574</x:v>
      </x:c>
      <x:c r="Q113" t="n">
        <x:v>0.00083995</x:v>
      </x:c>
      <x:c r="R113" t="str">
        <x:v>Accepted</x:v>
      </x:c>
      <x:c r="S113" t="n">
        <x:v>31</x:v>
      </x:c>
      <x:c r="T113" t="n">
        <x:v>27</x:v>
      </x:c>
      <x:c r="U113" t="n">
        <x:v>65.838709677</x:v>
      </x:c>
      <x:c r="V113" t="n">
        <x:v>75.592592593</x:v>
      </x:c>
      <x:c r="W113" t="n">
        <x:v>87</x:v>
      </x:c>
      <x:c r="X113" t="n">
        <x:v>28.814814815</x:v>
      </x:c>
      <x:c r="Y113" t="n">
        <x:v>31</x:v>
      </x:c>
    </x:row>
    <x:row r="114">
      <x:c r="A114" t="str">
        <x:v>w8_v128</x:v>
      </x:c>
      <x:c r="B114" t="n">
        <x:v>8</x:v>
      </x:c>
      <x:c r="C114" t="n">
        <x:v>128</x:v>
      </x:c>
      <x:c r="D114" t="n">
        <x:v>3</x:v>
      </x:c>
      <x:c r="E114" t="n">
        <x:v>373138</x:v>
      </x:c>
      <x:c r="F114" t="n">
        <x:v>112</x:v>
      </x:c>
      <x:c r="G114" t="str">
        <x:v>ng-dgx-m0-08.cloud.r-ccs.riken.jp</x:v>
      </x:c>
      <x:c r="H114" t="str">
        <x:v>NVIDIA GB10</x:v>
      </x:c>
      <x:c r="I114" t="n">
        <x:v>0</x:v>
      </x:c>
      <x:c r="J114" t="n">
        <x:v>29.17</x:v>
      </x:c>
      <x:c r="K114" t="n">
        <x:v>29.18</x:v>
      </x:c>
      <x:c r="L114" t="n">
        <x:v>29.66</x:v>
      </x:c>
      <x:c r="M114" t="n">
        <x:v>30.16</x:v>
      </x:c>
      <x:c r="N114" t="n">
        <x:v>378236</x:v>
      </x:c>
      <x:c r="O114" t="n">
        <x:v>0.625129946975</x:v>
      </x:c>
      <x:c r="P114" t="n">
        <x:v>0.622916188574</x:v>
      </x:c>
      <x:c r="Q114" t="n">
        <x:v>0.00083995</x:v>
      </x:c>
      <x:c r="R114" t="str">
        <x:v>Accepted</x:v>
      </x:c>
      <x:c r="S114" t="n">
        <x:v>31</x:v>
      </x:c>
      <x:c r="T114" t="n">
        <x:v>28</x:v>
      </x:c>
      <x:c r="U114" t="n">
        <x:v>67.096774194</x:v>
      </x:c>
      <x:c r="V114" t="n">
        <x:v>74.285714286</x:v>
      </x:c>
      <x:c r="W114" t="n">
        <x:v>87</x:v>
      </x:c>
      <x:c r="X114" t="n">
        <x:v>25.428571429</x:v>
      </x:c>
      <x:c r="Y114" t="n">
        <x:v>27</x:v>
      </x:c>
    </x:row>
    <x:row r="115">
      <x:c r="A115" t="str">
        <x:v>w8_v128</x:v>
      </x:c>
      <x:c r="B115" t="n">
        <x:v>8</x:v>
      </x:c>
      <x:c r="C115" t="n">
        <x:v>128</x:v>
      </x:c>
      <x:c r="D115" t="n">
        <x:v>4</x:v>
      </x:c>
      <x:c r="E115" t="n">
        <x:v>373138</x:v>
      </x:c>
      <x:c r="F115" t="n">
        <x:v>113</x:v>
      </x:c>
      <x:c r="G115" t="str">
        <x:v>ng-dgx-m0-09.cloud.r-ccs.riken.jp</x:v>
      </x:c>
      <x:c r="H115" t="str">
        <x:v>NVIDIA GB10</x:v>
      </x:c>
      <x:c r="I115" t="n">
        <x:v>0</x:v>
      </x:c>
      <x:c r="J115" t="n">
        <x:v>28.83</x:v>
      </x:c>
      <x:c r="K115" t="n">
        <x:v>28.85</x:v>
      </x:c>
      <x:c r="L115" t="n">
        <x:v>29.29</x:v>
      </x:c>
      <x:c r="M115" t="n">
        <x:v>29.81</x:v>
      </x:c>
      <x:c r="N115" t="n">
        <x:v>378248</x:v>
      </x:c>
      <x:c r="O115" t="n">
        <x:v>0.625129946975</x:v>
      </x:c>
      <x:c r="P115" t="n">
        <x:v>0.622916188574</x:v>
      </x:c>
      <x:c r="Q115" t="n">
        <x:v>0.00083995</x:v>
      </x:c>
      <x:c r="R115" t="str">
        <x:v>Accepted</x:v>
      </x:c>
      <x:c r="S115" t="n">
        <x:v>31</x:v>
      </x:c>
      <x:c r="T115" t="n">
        <x:v>28</x:v>
      </x:c>
      <x:c r="U115" t="n">
        <x:v>64.677419355</x:v>
      </x:c>
      <x:c r="V115" t="n">
        <x:v>71.607142857</x:v>
      </x:c>
      <x:c r="W115" t="n">
        <x:v>87</x:v>
      </x:c>
      <x:c r="X115" t="n">
        <x:v>28.678571429</x:v>
      </x:c>
      <x:c r="Y115" t="n">
        <x:v>31</x:v>
      </x:c>
    </x:row>
    <x:row r="116">
      <x:c r="A116" t="str">
        <x:v>w8_v128</x:v>
      </x:c>
      <x:c r="B116" t="n">
        <x:v>8</x:v>
      </x:c>
      <x:c r="C116" t="n">
        <x:v>128</x:v>
      </x:c>
      <x:c r="D116" t="n">
        <x:v>5</x:v>
      </x:c>
      <x:c r="E116" t="n">
        <x:v>373138</x:v>
      </x:c>
      <x:c r="F116" t="n">
        <x:v>114</x:v>
      </x:c>
      <x:c r="G116" t="str">
        <x:v>ng-dgx-m0-08.cloud.r-ccs.riken.jp</x:v>
      </x:c>
      <x:c r="H116" t="str">
        <x:v>NVIDIA GB10</x:v>
      </x:c>
      <x:c r="I116" t="n">
        <x:v>0</x:v>
      </x:c>
      <x:c r="J116" t="n">
        <x:v>28.94</x:v>
      </x:c>
      <x:c r="K116" t="n">
        <x:v>28.96</x:v>
      </x:c>
      <x:c r="L116" t="n">
        <x:v>29.37</x:v>
      </x:c>
      <x:c r="M116" t="n">
        <x:v>29.89</x:v>
      </x:c>
      <x:c r="N116" t="n">
        <x:v>377948</x:v>
      </x:c>
      <x:c r="O116" t="n">
        <x:v>0.625129946975</x:v>
      </x:c>
      <x:c r="P116" t="n">
        <x:v>0.622916188574</x:v>
      </x:c>
      <x:c r="Q116" t="n">
        <x:v>0.00083995</x:v>
      </x:c>
      <x:c r="R116" t="str">
        <x:v>Accepted</x:v>
      </x:c>
      <x:c r="S116" t="n">
        <x:v>30</x:v>
      </x:c>
      <x:c r="T116" t="n">
        <x:v>27</x:v>
      </x:c>
      <x:c r="U116" t="n">
        <x:v>67.066666667</x:v>
      </x:c>
      <x:c r="V116" t="n">
        <x:v>74.518518519</x:v>
      </x:c>
      <x:c r="W116" t="n">
        <x:v>87</x:v>
      </x:c>
      <x:c r="X116" t="n">
        <x:v>25.444444444</x:v>
      </x:c>
      <x:c r="Y116" t="n">
        <x:v>27</x:v>
      </x:c>
    </x:row>
    <x:row r="117">
      <x:c r="A117" t="str">
        <x:v>w8_v128</x:v>
      </x:c>
      <x:c r="B117" t="n">
        <x:v>8</x:v>
      </x:c>
      <x:c r="C117" t="n">
        <x:v>128</x:v>
      </x:c>
      <x:c r="D117" t="n">
        <x:v>6</x:v>
      </x:c>
      <x:c r="E117" t="n">
        <x:v>373138</x:v>
      </x:c>
      <x:c r="F117" t="n">
        <x:v>115</x:v>
      </x:c>
      <x:c r="G117" t="str">
        <x:v>ng-dgx-m0-09.cloud.r-ccs.riken.jp</x:v>
      </x:c>
      <x:c r="H117" t="str">
        <x:v>NVIDIA GB10</x:v>
      </x:c>
      <x:c r="I117" t="n">
        <x:v>0</x:v>
      </x:c>
      <x:c r="J117" t="n">
        <x:v>29.04</x:v>
      </x:c>
      <x:c r="K117" t="n">
        <x:v>29.05</x:v>
      </x:c>
      <x:c r="L117" t="n">
        <x:v>29.49</x:v>
      </x:c>
      <x:c r="M117" t="n">
        <x:v>29.99</x:v>
      </x:c>
      <x:c r="N117" t="n">
        <x:v>377552</x:v>
      </x:c>
      <x:c r="O117" t="n">
        <x:v>0.625129946975</x:v>
      </x:c>
      <x:c r="P117" t="n">
        <x:v>0.622916188574</x:v>
      </x:c>
      <x:c r="Q117" t="n">
        <x:v>0.00083995</x:v>
      </x:c>
      <x:c r="R117" t="str">
        <x:v>Accepted</x:v>
      </x:c>
      <x:c r="S117" t="n">
        <x:v>31</x:v>
      </x:c>
      <x:c r="T117" t="n">
        <x:v>27</x:v>
      </x:c>
      <x:c r="U117" t="n">
        <x:v>67.064516129</x:v>
      </x:c>
      <x:c r="V117" t="n">
        <x:v>77</x:v>
      </x:c>
      <x:c r="W117" t="n">
        <x:v>87</x:v>
      </x:c>
      <x:c r="X117" t="n">
        <x:v>28.62962963</x:v>
      </x:c>
      <x:c r="Y117" t="n">
        <x:v>31</x:v>
      </x:c>
    </x:row>
    <x:row r="118">
      <x:c r="A118" t="str">
        <x:v>w8_v128</x:v>
      </x:c>
      <x:c r="B118" t="n">
        <x:v>8</x:v>
      </x:c>
      <x:c r="C118" t="n">
        <x:v>128</x:v>
      </x:c>
      <x:c r="D118" t="n">
        <x:v>7</x:v>
      </x:c>
      <x:c r="E118" t="n">
        <x:v>373138</x:v>
      </x:c>
      <x:c r="F118" t="n">
        <x:v>116</x:v>
      </x:c>
      <x:c r="G118" t="str">
        <x:v>ng-dgx-m0-08.cloud.r-ccs.riken.jp</x:v>
      </x:c>
      <x:c r="H118" t="str">
        <x:v>NVIDIA GB10</x:v>
      </x:c>
      <x:c r="I118" t="n">
        <x:v>0</x:v>
      </x:c>
      <x:c r="J118" t="n">
        <x:v>29.4</x:v>
      </x:c>
      <x:c r="K118" t="n">
        <x:v>29.42</x:v>
      </x:c>
      <x:c r="L118" t="n">
        <x:v>29.94</x:v>
      </x:c>
      <x:c r="M118" t="n">
        <x:v>30.45</x:v>
      </x:c>
      <x:c r="N118" t="n">
        <x:v>378460</x:v>
      </x:c>
      <x:c r="O118" t="n">
        <x:v>0.625129946975</x:v>
      </x:c>
      <x:c r="P118" t="n">
        <x:v>0.622916188574</x:v>
      </x:c>
      <x:c r="Q118" t="n">
        <x:v>0.00083995</x:v>
      </x:c>
      <x:c r="R118" t="str">
        <x:v>Accepted</x:v>
      </x:c>
      <x:c r="S118" t="n">
        <x:v>31</x:v>
      </x:c>
      <x:c r="T118" t="n">
        <x:v>29</x:v>
      </x:c>
      <x:c r="U118" t="n">
        <x:v>72.290322581</x:v>
      </x:c>
      <x:c r="V118" t="n">
        <x:v>77.275862069</x:v>
      </x:c>
      <x:c r="W118" t="n">
        <x:v>87</x:v>
      </x:c>
      <x:c r="X118" t="n">
        <x:v>25.172413793</x:v>
      </x:c>
      <x:c r="Y118" t="n">
        <x:v>27</x:v>
      </x:c>
    </x:row>
    <x:row r="119">
      <x:c r="A119" t="str">
        <x:v>w8_v128</x:v>
      </x:c>
      <x:c r="B119" t="n">
        <x:v>8</x:v>
      </x:c>
      <x:c r="C119" t="n">
        <x:v>128</x:v>
      </x:c>
      <x:c r="D119" t="n">
        <x:v>8</x:v>
      </x:c>
      <x:c r="E119" t="n">
        <x:v>373138</x:v>
      </x:c>
      <x:c r="F119" t="n">
        <x:v>117</x:v>
      </x:c>
      <x:c r="G119" t="str">
        <x:v>ng-dgx-m0-09.cloud.r-ccs.riken.jp</x:v>
      </x:c>
      <x:c r="H119" t="str">
        <x:v>NVIDIA GB10</x:v>
      </x:c>
      <x:c r="I119" t="n">
        <x:v>0</x:v>
      </x:c>
      <x:c r="J119" t="n">
        <x:v>28.9</x:v>
      </x:c>
      <x:c r="K119" t="n">
        <x:v>28.92</x:v>
      </x:c>
      <x:c r="L119" t="n">
        <x:v>29.35</x:v>
      </x:c>
      <x:c r="M119" t="n">
        <x:v>29.89</x:v>
      </x:c>
      <x:c r="N119" t="n">
        <x:v>377676</x:v>
      </x:c>
      <x:c r="O119" t="n">
        <x:v>0.625129946975</x:v>
      </x:c>
      <x:c r="P119" t="n">
        <x:v>0.622916188574</x:v>
      </x:c>
      <x:c r="Q119" t="n">
        <x:v>0.00083995</x:v>
      </x:c>
      <x:c r="R119" t="str">
        <x:v>Accepted</x:v>
      </x:c>
      <x:c r="S119" t="n">
        <x:v>31</x:v>
      </x:c>
      <x:c r="T119" t="n">
        <x:v>27</x:v>
      </x:c>
      <x:c r="U119" t="n">
        <x:v>66.193548387</x:v>
      </x:c>
      <x:c r="V119" t="n">
        <x:v>76</x:v>
      </x:c>
      <x:c r="W119" t="n">
        <x:v>87</x:v>
      </x:c>
      <x:c r="X119" t="n">
        <x:v>28.851851852</x:v>
      </x:c>
      <x:c r="Y119" t="n">
        <x:v>31</x:v>
      </x:c>
    </x:row>
    <x:row r="120">
      <x:c r="A120" t="str">
        <x:v>w8_v128</x:v>
      </x:c>
      <x:c r="B120" t="n">
        <x:v>8</x:v>
      </x:c>
      <x:c r="C120" t="n">
        <x:v>128</x:v>
      </x:c>
      <x:c r="D120" t="n">
        <x:v>9</x:v>
      </x:c>
      <x:c r="E120" t="n">
        <x:v>373138</x:v>
      </x:c>
      <x:c r="F120" t="n">
        <x:v>118</x:v>
      </x:c>
      <x:c r="G120" t="str">
        <x:v>ng-dgx-m0-08.cloud.r-ccs.riken.jp</x:v>
      </x:c>
      <x:c r="H120" t="str">
        <x:v>NVIDIA GB10</x:v>
      </x:c>
      <x:c r="I120" t="n">
        <x:v>0</x:v>
      </x:c>
      <x:c r="J120" t="n">
        <x:v>29.29</x:v>
      </x:c>
      <x:c r="K120" t="n">
        <x:v>29.31</x:v>
      </x:c>
      <x:c r="L120" t="n">
        <x:v>29.75</x:v>
      </x:c>
      <x:c r="M120" t="n">
        <x:v>30.26</x:v>
      </x:c>
      <x:c r="N120" t="n">
        <x:v>378556</x:v>
      </x:c>
      <x:c r="O120" t="n">
        <x:v>0.625129946975</x:v>
      </x:c>
      <x:c r="P120" t="n">
        <x:v>0.622916188574</x:v>
      </x:c>
      <x:c r="Q120" t="n">
        <x:v>0.00083995</x:v>
      </x:c>
      <x:c r="R120" t="str">
        <x:v>Accepted</x:v>
      </x:c>
      <x:c r="S120" t="n">
        <x:v>32</x:v>
      </x:c>
      <x:c r="T120" t="n">
        <x:v>27</x:v>
      </x:c>
      <x:c r="U120" t="n">
        <x:v>64.375</x:v>
      </x:c>
      <x:c r="V120" t="n">
        <x:v>76.296296296</x:v>
      </x:c>
      <x:c r="W120" t="n">
        <x:v>87</x:v>
      </x:c>
      <x:c r="X120" t="n">
        <x:v>25.518518519</x:v>
      </x:c>
      <x:c r="Y120" t="n">
        <x:v>27</x:v>
      </x:c>
    </x:row>
    <x:row r="121">
      <x:c r="A121" t="str">
        <x:v>w8_v128</x:v>
      </x:c>
      <x:c r="B121" t="n">
        <x:v>8</x:v>
      </x:c>
      <x:c r="C121" t="n">
        <x:v>128</x:v>
      </x:c>
      <x:c r="D121" t="n">
        <x:v>10</x:v>
      </x:c>
      <x:c r="E121" t="n">
        <x:v>373138</x:v>
      </x:c>
      <x:c r="F121" t="n">
        <x:v>119</x:v>
      </x:c>
      <x:c r="G121" t="str">
        <x:v>ng-dgx-m0-09.cloud.r-ccs.riken.jp</x:v>
      </x:c>
      <x:c r="H121" t="str">
        <x:v>NVIDIA GB10</x:v>
      </x:c>
      <x:c r="I121" t="n">
        <x:v>0</x:v>
      </x:c>
      <x:c r="J121" t="n">
        <x:v>28.65</x:v>
      </x:c>
      <x:c r="K121" t="n">
        <x:v>28.67</x:v>
      </x:c>
      <x:c r="L121" t="n">
        <x:v>29.14</x:v>
      </x:c>
      <x:c r="M121" t="n">
        <x:v>29.64</x:v>
      </x:c>
      <x:c r="N121" t="n">
        <x:v>377748</x:v>
      </x:c>
      <x:c r="O121" t="n">
        <x:v>0.625129946975</x:v>
      </x:c>
      <x:c r="P121" t="n">
        <x:v>0.622916188574</x:v>
      </x:c>
      <x:c r="Q121" t="n">
        <x:v>0.00083995</x:v>
      </x:c>
      <x:c r="R121" t="str">
        <x:v>Accepted</x:v>
      </x:c>
      <x:c r="S121" t="n">
        <x:v>31</x:v>
      </x:c>
      <x:c r="T121" t="n">
        <x:v>27</x:v>
      </x:c>
      <x:c r="U121" t="n">
        <x:v>66.064516129</x:v>
      </x:c>
      <x:c r="V121" t="n">
        <x:v>75.851851852</x:v>
      </x:c>
      <x:c r="W121" t="n">
        <x:v>87</x:v>
      </x:c>
      <x:c r="X121" t="n">
        <x:v>28.814814815</x:v>
      </x:c>
      <x:c r="Y121" t="n">
        <x:v>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</x:cols>
  <x:sheetData>
    <x:row r="1">
      <x:c r="A1" s="4" t="str">
        <x:v>実験条件・品質確認</x:v>
      </x:c>
      <x:c r="B1" s="4"/>
      <x:c r="C1" s="4"/>
      <x:c r="D1" s="4"/>
    </x:row>
    <x:row r="3">
      <x:c r="A3" s="12" t="str">
        <x:v>項目</x:v>
      </x:c>
      <x:c r="B3" s="12" t="str">
        <x:v>内容</x:v>
      </x:c>
    </x:row>
    <x:row r="4">
      <x:c r="A4" s="13" t="str">
        <x:v>計算サービス</x:v>
      </x:c>
      <x:c r="B4" s="13" t="str">
        <x:v>R-CCSクラウド</x:v>
      </x:c>
    </x:row>
    <x:row r="5">
      <x:c r="A5" s="13" t="str">
        <x:v>GPU</x:v>
      </x:c>
      <x:c r="B5" s="13" t="str">
        <x:v>NVIDIA GB10 × 1（Blackwell, cc121）</x:v>
      </x:c>
    </x:row>
    <x:row r="6">
      <x:c r="A6" s="13" t="str">
        <x:v>実装</x:v>
      </x:c>
      <x:c r="B6" s="13" t="str">
        <x:v>OpenACC</x:v>
      </x:c>
    </x:row>
    <x:row r="7">
      <x:c r="A7" s="13" t="str">
        <x:v>コンパイラ</x:v>
      </x:c>
      <x:c r="B7" s="13" t="str">
        <x:v>NVIDIA HPC SDK nvc++ 26.5</x:v>
      </x:c>
    </x:row>
    <x:row r="8">
      <x:c r="A8" s="13" t="str">
        <x:v>コンパイル</x:v>
      </x:c>
      <x:c r="B8" s="13" t="str">
        <x:v>-fast -O3 -acc -gpu=ptxinfo,cc121</x:v>
      </x:c>
    </x:row>
    <x:row r="9">
      <x:c r="A9" s="13" t="str">
        <x:v>格子</x:v>
      </x:c>
      <x:c r="B9" s="13" t="str">
        <x:v>8×8×8×8</x:v>
      </x:c>
    </x:row>
    <x:row r="10">
      <x:c r="A10" s="13" t="str">
        <x:v>MPI</x:v>
      </x:c>
      <x:c r="B10" s="13" t="str">
        <x:v>無効（単一プロセス）</x:v>
      </x:c>
    </x:row>
    <x:row r="11">
      <x:c r="A11" s="13" t="str">
        <x:v>OpenMP</x:v>
      </x:c>
      <x:c r="B11" s="13" t="str">
        <x:v>1スレッド</x:v>
      </x:c>
    </x:row>
    <x:row r="12">
      <x:c r="A12" s="13" t="str">
        <x:v>Solver</x:v>
      </x:c>
      <x:c r="B12" s="13" t="str">
        <x:v>CG</x:v>
      </x:c>
    </x:row>
    <x:row r="13">
      <x:c r="A13" s="13" t="str">
        <x:v>測定</x:v>
      </x:c>
      <x:c r="B13" s="13" t="str">
        <x:v>12条件 × 10回 = 120回</x:v>
      </x:c>
    </x:row>
    <x:row r="14">
      <x:c r="A14" s="13" t="str">
        <x:v>比較基準</x:v>
      </x:c>
      <x:c r="B14" s="13" t="str">
        <x:v>w1_v32（NUM_WORKERS=1, VECTOR_LENGTH=32）</x:v>
      </x:c>
    </x:row>
    <x:row r="15">
      <x:c r="A15" s="13" t="str">
        <x:v>正常終了</x:v>
      </x:c>
      <x:c r="B15" s="13" t="str">
        <x:v>120/120</x:v>
      </x:c>
    </x:row>
    <x:row r="16">
      <x:c r="A16" s="13" t="str">
        <x:v>数値妥当性</x:v>
      </x:c>
      <x:c r="B16" s="13" t="str">
        <x:v>全回 Accepted、Plaquette・H(diff)一致</x:v>
      </x:c>
    </x:row>
    <x:row r="18">
      <x:c r="A18" s="19" t="str">
        <x:v>注意：SM使用率はnvidia-smi dmonの1秒間隔サンプルから、SM使用率が0%より大きい期間だけを稼働中として平均した。小さい8⁴格子での結果であり、大規模格子で同じ最適設定になるとは限らない。</x:v>
      </x:c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  <x:row r="21">
      <x:c r="A21" s="19"/>
      <x:c r="B21" s="19"/>
      <x:c r="C21" s="19"/>
      <x:c r="D21" s="19"/>
    </x:row>
  </x:sheetData>
  <x:mergeCells>
    <x:mergeCell ref="A1:D1"/>
    <x:mergeCell ref="A18:D21"/>
  </x:mergeCells>
  <x:pageMargins left="0.7" right="0.7" top="0.75" bottom="0.75" header="0.3" footer="0.3"/>
</x:worksheet>
</file>