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948e2d812c4d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ece0d56fbf9489d"/>
    <x:sheet xmlns:r="http://schemas.openxmlformats.org/officeDocument/2006/relationships" name="Runs_raw" sheetId="2" r:id="Rb26cfb33408a4b81"/>
    <x:sheet xmlns:r="http://schemas.openxmlformats.org/officeDocument/2006/relationships" name="Analysis" sheetId="3" r:id="Red858a7da1d0451d"/>
    <x:sheet xmlns:r="http://schemas.openxmlformats.org/officeDocument/2006/relationships" name="Charts" sheetId="4" r:id="R6cf5643bd1ad4d04"/>
    <x:sheet xmlns:r="http://schemas.openxmlformats.org/officeDocument/2006/relationships" name="Convergence_Check" sheetId="5" r:id="Rdebdad65c9834108"/>
    <x:sheet xmlns:r="http://schemas.openxmlformats.org/officeDocument/2006/relationships" name="PPT_Validation" sheetId="6" r:id="Rd2eec9c1c45846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yyyy-mm-dd"/>
    <x:numFmt numFmtId="201" formatCode="0.00"/>
    <x:numFmt numFmtId="202" formatCode="0.000000000000"/>
    <x:numFmt numFmtId="203" formatCode="0.00000000"/>
    <x:numFmt numFmtId="204" formatCode="0.0%"/>
    <x:numFmt numFmtId="205" formatCode="0.00E+00"/>
    <x:numFmt numFmtId="206" formatCode="0.00x"/>
    <x:numFmt numFmtId="207" formatCode="0"/>
    <x:numFmt numFmtId="208" formatCode="#,##0"/>
    <x:numFmt numFmtId="209" formatCode="0.000E+00"/>
  </x:numFmts>
  <x:fonts count="1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7365D"/>
      <x:name val="Carlito"/>
    </x:font>
    <x:font>
      <x:b/>
      <x:sz val="18"/>
      <x:color rgb="FFFFFFFF"/>
      <x:name val="Carlito"/>
    </x:font>
    <x:font>
      <x:b/>
      <x:sz val="13"/>
      <x:color rgb="FF1F4E78"/>
      <x:name val="Carlito"/>
    </x:font>
    <x:font>
      <x:b/>
      <x:sz val="11"/>
      <x:color rgb="FF548235"/>
      <x:name val="Carlito"/>
    </x:font>
    <x:font>
      <x:b/>
      <x:sz val="12"/>
      <x:color rgb="FF1F4E78"/>
      <x:name val="Carlito"/>
    </x:font>
    <x:font>
      <x:i/>
      <x:sz val="9"/>
      <x:color rgb="FF666666"/>
      <x:name val="Carlito"/>
    </x:font>
    <x:font>
      <x:b/>
      <x:sz val="20"/>
      <x:color rgb="FFFFFFFF"/>
      <x:name val="Carlito"/>
    </x:font>
    <x:font>
      <x:b/>
      <x:sz val="12"/>
      <x:color rgb="FFFFFFFF"/>
      <x:name val="Carlito"/>
    </x:font>
    <x:font>
      <x:b/>
      <x:sz val="12"/>
      <x:color rgb="FF548235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E2F0D9"/>
      </x:patternFill>
    </x:fill>
    <x:fill>
      <x:patternFill patternType="solid">
        <x:fgColor rgb="FFFFFFFF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</x:fills>
  <x:borders count="18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left style="medium">
        <x:color rgb="FF2F75B5"/>
      </x:left>
      <x:top style="medium">
        <x:color rgb="FF2F75B5"/>
      </x:top>
    </x:border>
    <x:border>
      <x:top style="medium">
        <x:color rgb="FF2F75B5"/>
      </x:top>
    </x:border>
    <x:border>
      <x:right style="medium">
        <x:color rgb="FF2F75B5"/>
      </x:right>
      <x:top style="medium">
        <x:color rgb="FF2F75B5"/>
      </x:top>
    </x:border>
    <x:border>
      <x:left style="medium">
        <x:color rgb="FF2F75B5"/>
      </x:left>
      <x:bottom style="medium">
        <x:color rgb="FF2F75B5"/>
      </x:bottom>
    </x:border>
    <x:border>
      <x:bottom style="medium">
        <x:color rgb="FF2F75B5"/>
      </x:bottom>
    </x:border>
    <x:border>
      <x:right style="medium">
        <x:color rgb="FF2F75B5"/>
      </x:right>
      <x:bottom style="medium">
        <x:color rgb="FF2F75B5"/>
      </x:bottom>
    </x:border>
  </x:borders>
  <x:cellStyleXfs count="1">
    <x:xf numFmtId="0" fontId="0" fillId="0" borderId="0"/>
  </x:cellStyleXfs>
  <x:cellXfs count="20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7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/>
    <x:xf numFmtId="0" fontId="0" fillId="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1" fontId="0" fillId="0" borderId="8" xfId="0" applyNumberFormat="1" applyFont="1" applyFill="1" applyBorder="1"/>
    <x:xf numFmtId="201" fontId="0" fillId="0" borderId="9" xfId="0" applyNumberFormat="1" applyFont="1" applyFill="1" applyBorder="1"/>
    <x:xf numFmtId="202" fontId="0" fillId="0" borderId="8" xfId="0" applyNumberFormat="1" applyFont="1" applyFill="1" applyBorder="1"/>
    <x:xf numFmtId="202" fontId="0" fillId="0" borderId="9" xfId="0" applyNumberFormat="1" applyFont="1" applyFill="1" applyBorder="1"/>
    <x:xf numFmtId="203" fontId="0" fillId="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9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5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202" fontId="0" fillId="0" borderId="9" xfId="0" applyNumberFormat="1" applyFont="1" applyFill="1" applyBorder="1" applyAlignment="1">
      <x:alignment wrapText="1"/>
    </x:xf>
    <x:xf numFmtId="203" fontId="0" fillId="0" borderId="9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204" fontId="0" fillId="0" borderId="8" xfId="0" applyNumberFormat="1" applyFont="1" applyFill="1" applyBorder="1"/>
    <x:xf numFmtId="204" fontId="0" fillId="0" borderId="9" xfId="0" applyNumberFormat="1" applyFont="1" applyFill="1" applyBorder="1"/>
    <x:xf numFmtId="203" fontId="0" fillId="0" borderId="8" xfId="0" applyNumberFormat="1" applyFont="1" applyFill="1" applyBorder="1"/>
    <x:xf numFmtId="203" fontId="0" fillId="0" borderId="9" xfId="0" applyNumberFormat="1" applyFont="1" applyFill="1" applyBorder="1"/>
    <x:xf numFmtId="205" fontId="0" fillId="0" borderId="4" xfId="0" applyNumberFormat="1" applyFont="1" applyFill="1" applyBorder="1"/>
    <x:xf numFmtId="205" fontId="0" fillId="0" borderId="6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3" fillId="6" borderId="2" xfId="0" applyNumberFormat="1" applyFont="1" applyFill="1" applyBorder="1"/>
    <x:xf numFmtId="206" fontId="0" fillId="0" borderId="4" xfId="0" applyNumberFormat="1" applyFont="1" applyFill="1" applyBorder="1"/>
    <x:xf numFmtId="204" fontId="0" fillId="0" borderId="4" xfId="0" applyNumberFormat="1" applyFont="1" applyFill="1" applyBorder="1"/>
    <x:xf numFmtId="201" fontId="0" fillId="0" borderId="4" xfId="0" applyNumberFormat="1" applyFont="1" applyFill="1" applyBorder="1"/>
    <x:xf numFmtId="202" fontId="0" fillId="0" borderId="6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1" xfId="0" applyNumberFormat="1" applyFont="1" applyFill="1" applyBorder="1"/>
    <x:xf numFmtId="0" fontId="3" fillId="7" borderId="7" xfId="0" applyNumberFormat="1" applyFont="1" applyFill="1" applyBorder="1"/>
    <x:xf numFmtId="0" fontId="3" fillId="7" borderId="2" xfId="0" applyNumberFormat="1" applyFont="1" applyFill="1" applyBorder="1"/>
    <x:xf numFmtId="0" fontId="3" fillId="6" borderId="3" xfId="0" applyNumberFormat="1" applyFont="1" applyFill="1" applyBorder="1"/>
    <x:xf numFmtId="0" fontId="3" fillId="6" borderId="5" xfId="0" applyNumberFormat="1" applyFont="1" applyFill="1" applyBorder="1"/>
    <x:xf numFmtId="0" fontId="2" fillId="3" borderId="7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7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8" borderId="3" xfId="0" applyNumberFormat="1" applyFont="1" applyFill="1" applyBorder="1"/>
    <x:xf numFmtId="201" fontId="0" fillId="8" borderId="8" xfId="0" applyNumberFormat="1" applyFont="1" applyFill="1" applyBorder="1"/>
    <x:xf numFmtId="204" fontId="0" fillId="8" borderId="8" xfId="0" applyNumberFormat="1" applyFont="1" applyFill="1" applyBorder="1"/>
    <x:xf numFmtId="202" fontId="0" fillId="8" borderId="8" xfId="0" applyNumberFormat="1" applyFont="1" applyFill="1" applyBorder="1"/>
    <x:xf numFmtId="203" fontId="0" fillId="8" borderId="8" xfId="0" applyNumberFormat="1" applyFont="1" applyFill="1" applyBorder="1"/>
    <x:xf numFmtId="205" fontId="0" fillId="8" borderId="4" xfId="0" applyNumberFormat="1" applyFont="1" applyFill="1" applyBorder="1"/>
    <x:xf numFmtId="0" fontId="0" fillId="8" borderId="5" xfId="0" applyNumberFormat="1" applyFont="1" applyFill="1" applyBorder="1"/>
    <x:xf numFmtId="201" fontId="0" fillId="8" borderId="9" xfId="0" applyNumberFormat="1" applyFont="1" applyFill="1" applyBorder="1"/>
    <x:xf numFmtId="204" fontId="0" fillId="8" borderId="9" xfId="0" applyNumberFormat="1" applyFont="1" applyFill="1" applyBorder="1"/>
    <x:xf numFmtId="202" fontId="0" fillId="8" borderId="9" xfId="0" applyNumberFormat="1" applyFont="1" applyFill="1" applyBorder="1"/>
    <x:xf numFmtId="203" fontId="0" fillId="8" borderId="9" xfId="0" applyNumberFormat="1" applyFont="1" applyFill="1" applyBorder="1"/>
    <x:xf numFmtId="205" fontId="0" fillId="8" borderId="6" xfId="0" applyNumberFormat="1" applyFont="1" applyFill="1" applyBorder="1"/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3" fillId="8" borderId="1" xfId="0" applyNumberFormat="1" applyFont="1" applyFill="1" applyBorder="1"/>
    <x:xf numFmtId="0" fontId="3" fillId="8" borderId="2" xfId="0" applyNumberFormat="1" applyFont="1" applyFill="1" applyBorder="1"/>
    <x:xf numFmtId="0" fontId="3" fillId="8" borderId="7" xfId="0" applyNumberFormat="1" applyFont="1" applyFill="1" applyBorder="1"/>
    <x:xf numFmtId="206" fontId="0" fillId="8" borderId="4" xfId="0" applyNumberFormat="1" applyFont="1" applyFill="1" applyBorder="1"/>
    <x:xf numFmtId="0" fontId="3" fillId="8" borderId="3" xfId="0" applyNumberFormat="1" applyFont="1" applyFill="1" applyBorder="1"/>
    <x:xf numFmtId="0" fontId="0" fillId="8" borderId="8" xfId="0" applyNumberFormat="1" applyFont="1" applyFill="1" applyBorder="1"/>
    <x:xf numFmtId="0" fontId="0" fillId="8" borderId="4" xfId="0" applyNumberFormat="1" applyFont="1" applyFill="1" applyBorder="1"/>
    <x:xf numFmtId="204" fontId="0" fillId="8" borderId="4" xfId="0" applyNumberFormat="1" applyFont="1" applyFill="1" applyBorder="1"/>
    <x:xf numFmtId="205" fontId="0" fillId="8" borderId="8" xfId="0" applyNumberFormat="1" applyFont="1" applyFill="1" applyBorder="1"/>
    <x:xf numFmtId="0" fontId="4" fillId="8" borderId="8" xfId="0" applyNumberFormat="1" applyFont="1" applyFill="1" applyBorder="1"/>
    <x:xf numFmtId="0" fontId="3" fillId="8" borderId="8" xfId="0" applyNumberFormat="1" applyFont="1" applyFill="1" applyBorder="1"/>
    <x:xf numFmtId="206" fontId="0" fillId="8" borderId="8" xfId="0" applyNumberFormat="1" applyFont="1" applyFill="1" applyBorder="1"/>
    <x:xf numFmtId="207" fontId="0" fillId="8" borderId="8" xfId="0" applyNumberFormat="1" applyFont="1" applyFill="1" applyBorder="1"/>
    <x:xf numFmtId="207" fontId="4" fillId="8" borderId="8" xfId="0" applyNumberFormat="1" applyFont="1" applyFill="1" applyBorder="1"/>
    <x:xf numFmtId="207" fontId="3" fillId="8" borderId="8" xfId="0" applyNumberFormat="1" applyFont="1" applyFill="1" applyBorder="1"/>
    <x:xf numFmtId="201" fontId="4" fillId="8" borderId="8" xfId="0" applyNumberFormat="1" applyFont="1" applyFill="1" applyBorder="1"/>
    <x:xf numFmtId="201" fontId="3" fillId="8" borderId="8" xfId="0" applyNumberFormat="1" applyFont="1" applyFill="1" applyBorder="1"/>
    <x:xf numFmtId="204" fontId="4" fillId="8" borderId="8" xfId="0" applyNumberFormat="1" applyFont="1" applyFill="1" applyBorder="1"/>
    <x:xf numFmtId="204" fontId="3" fillId="8" borderId="8" xfId="0" applyNumberFormat="1" applyFont="1" applyFill="1" applyBorder="1"/>
    <x:xf numFmtId="202" fontId="3" fillId="8" borderId="8" xfId="0" applyNumberFormat="1" applyFont="1" applyFill="1" applyBorder="1"/>
    <x:xf numFmtId="203" fontId="3" fillId="8" borderId="8" xfId="0" applyNumberFormat="1" applyFont="1" applyFill="1" applyBorder="1"/>
    <x:xf numFmtId="205" fontId="3" fillId="8" borderId="8" xfId="0" applyNumberFormat="1" applyFont="1" applyFill="1" applyBorder="1"/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4" xfId="0" applyNumberFormat="1" applyFont="1" applyFill="1" applyBorder="1"/>
    <x:xf numFmtId="0" fontId="3" fillId="10" borderId="3" xfId="0" applyNumberFormat="1" applyFont="1" applyFill="1" applyBorder="1"/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0" xfId="0" applyNumberFormat="1" applyFont="1" applyFill="1" applyBorder="1" applyAlignment="1">
      <x:alignment vertical="center"/>
    </x:xf>
    <x:xf numFmtId="0" fontId="0" fillId="13" borderId="0" xfId="0" applyNumberFormat="1" applyFont="1" applyFill="1" applyBorder="1"/>
    <x:xf numFmtId="0" fontId="6" fillId="13" borderId="0" xfId="0" applyNumberFormat="1" applyFont="1" applyFill="1" applyBorder="1"/>
    <x:xf numFmtId="0" fontId="6" fillId="13" borderId="0" xfId="0" applyNumberFormat="1" applyFont="1" applyFill="1" applyBorder="1" applyAlignment="1">
      <x:alignment vertical="center"/>
    </x:xf>
    <x:xf numFmtId="0" fontId="0" fillId="14" borderId="0" xfId="0" applyNumberFormat="1" applyFont="1" applyFill="1" applyBorder="1"/>
    <x:xf numFmtId="0" fontId="2" fillId="14" borderId="0" xfId="0" applyNumberFormat="1" applyFont="1" applyFill="1" applyBorder="1"/>
    <x:xf numFmtId="0" fontId="2" fillId="14" borderId="0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15" borderId="10" xfId="0" applyNumberFormat="1" applyFont="1" applyFill="1" applyBorder="1"/>
    <x:xf numFmtId="0" fontId="0" fillId="15" borderId="11" xfId="0" applyNumberFormat="1" applyFont="1" applyFill="1" applyBorder="1"/>
    <x:xf numFmtId="0" fontId="7" fillId="15" borderId="10" xfId="0" applyNumberFormat="1" applyFont="1" applyFill="1" applyBorder="1"/>
    <x:xf numFmtId="0" fontId="7" fillId="15" borderId="11" xfId="0" applyNumberFormat="1" applyFont="1" applyFill="1" applyBorder="1"/>
    <x:xf numFmtId="0" fontId="7" fillId="15" borderId="10" xfId="0" applyNumberFormat="1" applyFont="1" applyFill="1" applyBorder="1" applyAlignment="1">
      <x:alignment horizontal="center"/>
    </x:xf>
    <x:xf numFmtId="0" fontId="7" fillId="15" borderId="11" xfId="0" applyNumberFormat="1" applyFont="1" applyFill="1" applyBorder="1" applyAlignment="1">
      <x:alignment horizontal="center"/>
    </x:xf>
    <x:xf numFmtId="208" fontId="0" fillId="0" borderId="11" xfId="0" applyNumberFormat="1" applyFont="1" applyFill="1" applyBorder="1"/>
    <x:xf numFmtId="209" fontId="0" fillId="0" borderId="11" xfId="0" applyNumberFormat="1" applyFont="1" applyFill="1" applyBorder="1"/>
    <x:xf numFmtId="0" fontId="8" fillId="13" borderId="0" xfId="0" applyNumberFormat="1" applyFont="1" applyFill="1" applyBorder="1"/>
    <x:xf numFmtId="0" fontId="2" fillId="14" borderId="0" xfId="0" applyNumberFormat="1" applyFont="1" applyFill="1" applyBorder="1" applyAlignment="1">
      <x:alignment wrapText="1"/>
    </x:xf>
    <x:xf numFmtId="0" fontId="2" fillId="14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vertical="center"/>
    </x:xf>
    <x:xf numFmtId="208" fontId="0" fillId="0" borderId="0" xfId="0" applyNumberFormat="1" applyFont="1" applyFill="1" applyBorder="1" applyAlignment="1">
      <x:alignment vertical="center"/>
    </x:xf>
    <x:xf numFmtId="209" fontId="0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0" fontId="0" fillId="15" borderId="0" xfId="0" applyNumberFormat="1" applyFont="1" applyFill="1" applyBorder="1" applyAlignment="1">
      <x:alignment vertical="center"/>
    </x:xf>
    <x:xf numFmtId="0" fontId="7" fillId="15" borderId="0" xfId="0" applyNumberFormat="1" applyFont="1" applyFill="1" applyBorder="1" applyAlignment="1">
      <x:alignment vertical="center"/>
    </x:xf>
    <x:xf numFmtId="0" fontId="7" fillId="15" borderId="0" xfId="0" applyNumberFormat="1" applyFont="1" applyFill="1" applyBorder="1" applyAlignment="1">
      <x:alignment horizontal="center" vertical="center"/>
    </x:xf>
    <x:xf numFmtId="0" fontId="0" fillId="16" borderId="0" xfId="0" applyNumberFormat="1" applyFont="1" applyFill="1" applyBorder="1"/>
    <x:xf numFmtId="0" fontId="3" fillId="16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7" fillId="15" borderId="10" xfId="0" applyNumberFormat="1" applyFont="1" applyFill="1" applyBorder="1" applyAlignment="1">
      <x:alignment horizontal="center" wrapText="1"/>
    </x:xf>
    <x:xf numFmtId="0" fontId="0" fillId="0" borderId="11" xfId="0" applyNumberFormat="1" applyFont="1" applyFill="1" applyBorder="1" applyAlignment="1">
      <x:alignment wrapText="1"/>
    </x:xf>
    <x:xf numFmtId="208" fontId="0" fillId="0" borderId="11" xfId="0" applyNumberFormat="1" applyFont="1" applyFill="1" applyBorder="1" applyAlignment="1">
      <x:alignment wrapText="1"/>
    </x:xf>
    <x:xf numFmtId="0" fontId="7" fillId="15" borderId="11" xfId="0" applyNumberFormat="1" applyFont="1" applyFill="1" applyBorder="1" applyAlignment="1">
      <x:alignment horizontal="center" wrapText="1"/>
    </x:xf>
    <x:xf numFmtId="209" fontId="0" fillId="0" borderId="11" xfId="0" applyNumberFormat="1" applyFont="1" applyFill="1" applyBorder="1" applyAlignment="1">
      <x:alignment wrapText="1"/>
    </x:xf>
    <x:xf numFmtId="0" fontId="10" fillId="12" borderId="0" xfId="0" applyNumberFormat="1" applyFont="1" applyFill="1" applyBorder="1"/>
    <x:xf numFmtId="0" fontId="10" fillId="12" borderId="0" xfId="0" applyNumberFormat="1" applyFont="1" applyFill="1" applyBorder="1" applyAlignment="1">
      <x:alignment vertical="center"/>
    </x:xf>
    <x:xf numFmtId="0" fontId="11" fillId="14" borderId="0" xfId="0" applyNumberFormat="1" applyFont="1" applyFill="1" applyBorder="1"/>
    <x:xf numFmtId="0" fontId="11" fillId="14" borderId="0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15" borderId="10" xfId="0" applyNumberFormat="1" applyFont="1" applyFill="1" applyBorder="1" applyAlignment="1">
      <x:alignment vertical="center" wrapText="1"/>
    </x:xf>
    <x:xf numFmtId="0" fontId="0" fillId="15" borderId="11" xfId="0" applyNumberFormat="1" applyFont="1" applyFill="1" applyBorder="1" applyAlignment="1">
      <x:alignment vertical="center" wrapText="1"/>
    </x:xf>
    <x:xf numFmtId="0" fontId="12" fillId="15" borderId="10" xfId="0" applyNumberFormat="1" applyFont="1" applyFill="1" applyBorder="1" applyAlignment="1">
      <x:alignment vertical="center" wrapText="1"/>
    </x:xf>
    <x:xf numFmtId="0" fontId="12" fillId="15" borderId="11" xfId="0" applyNumberFormat="1" applyFont="1" applyFill="1" applyBorder="1" applyAlignment="1">
      <x:alignment vertical="center" wrapText="1"/>
    </x:xf>
    <x:xf numFmtId="0" fontId="12" fillId="15" borderId="10" xfId="0" applyNumberFormat="1" applyFont="1" applyFill="1" applyBorder="1" applyAlignment="1">
      <x:alignment horizontal="center" vertical="center" wrapText="1"/>
    </x:xf>
    <x:xf numFmtId="0" fontId="12" fillId="15" borderId="11" xfId="0" applyNumberFormat="1" applyFont="1" applyFill="1" applyBorder="1" applyAlignment="1">
      <x:alignment horizontal="center" vertical="center" wrapText="1"/>
    </x:xf>
    <x:xf numFmtId="208" fontId="0" fillId="0" borderId="11" xfId="0" applyNumberFormat="1" applyFont="1" applyFill="1" applyBorder="1" applyAlignment="1">
      <x:alignment vertical="center" wrapText="1"/>
    </x:xf>
    <x:xf numFmtId="209" fontId="0" fillId="0" borderId="11" xfId="0" applyNumberFormat="1" applyFont="1" applyFill="1" applyBorder="1" applyAlignment="1">
      <x:alignment vertical="center" wrapText="1"/>
    </x:xf>
    <x:xf numFmtId="0" fontId="6" fillId="13" borderId="12" xfId="0" applyNumberFormat="1" applyFont="1" applyFill="1" applyBorder="1"/>
    <x:xf numFmtId="0" fontId="6" fillId="13" borderId="13" xfId="0" applyNumberFormat="1" applyFont="1" applyFill="1" applyBorder="1"/>
    <x:xf numFmtId="0" fontId="6" fillId="13" borderId="14" xfId="0" applyNumberFormat="1" applyFont="1" applyFill="1" applyBorder="1"/>
    <x:xf numFmtId="0" fontId="6" fillId="13" borderId="15" xfId="0" applyNumberFormat="1" applyFont="1" applyFill="1" applyBorder="1"/>
    <x:xf numFmtId="0" fontId="6" fillId="13" borderId="16" xfId="0" applyNumberFormat="1" applyFont="1" applyFill="1" applyBorder="1"/>
    <x:xf numFmtId="0" fontId="6" fillId="13" borderId="17" xfId="0" applyNumberFormat="1" applyFont="1" applyFill="1" applyBorder="1"/>
    <x:xf numFmtId="0" fontId="6" fillId="13" borderId="12" xfId="0" applyNumberFormat="1" applyFont="1" applyFill="1" applyBorder="1" applyAlignment="1">
      <x:alignment wrapText="1"/>
    </x:xf>
    <x:xf numFmtId="0" fontId="6" fillId="13" borderId="13" xfId="0" applyNumberFormat="1" applyFont="1" applyFill="1" applyBorder="1" applyAlignment="1">
      <x:alignment wrapText="1"/>
    </x:xf>
    <x:xf numFmtId="0" fontId="6" fillId="13" borderId="14" xfId="0" applyNumberFormat="1" applyFont="1" applyFill="1" applyBorder="1" applyAlignment="1">
      <x:alignment wrapText="1"/>
    </x:xf>
    <x:xf numFmtId="0" fontId="6" fillId="13" borderId="15" xfId="0" applyNumberFormat="1" applyFont="1" applyFill="1" applyBorder="1" applyAlignment="1">
      <x:alignment wrapText="1"/>
    </x:xf>
    <x:xf numFmtId="0" fontId="6" fillId="13" borderId="16" xfId="0" applyNumberFormat="1" applyFont="1" applyFill="1" applyBorder="1" applyAlignment="1">
      <x:alignment wrapText="1"/>
    </x:xf>
    <x:xf numFmtId="0" fontId="6" fillId="13" borderId="17" xfId="0" applyNumberFormat="1" applyFont="1" applyFill="1" applyBorder="1" applyAlignment="1">
      <x:alignment wrapText="1"/>
    </x:xf>
    <x:xf numFmtId="0" fontId="6" fillId="13" borderId="12" xfId="0" applyNumberFormat="1" applyFont="1" applyFill="1" applyBorder="1" applyAlignment="1">
      <x:alignment vertical="center" wrapText="1"/>
    </x:xf>
    <x:xf numFmtId="0" fontId="6" fillId="13" borderId="13" xfId="0" applyNumberFormat="1" applyFont="1" applyFill="1" applyBorder="1" applyAlignment="1">
      <x:alignment vertical="center" wrapText="1"/>
    </x:xf>
    <x:xf numFmtId="0" fontId="6" fillId="13" borderId="14" xfId="0" applyNumberFormat="1" applyFont="1" applyFill="1" applyBorder="1" applyAlignment="1">
      <x:alignment vertical="center" wrapText="1"/>
    </x:xf>
    <x:xf numFmtId="0" fontId="6" fillId="13" borderId="15" xfId="0" applyNumberFormat="1" applyFont="1" applyFill="1" applyBorder="1" applyAlignment="1">
      <x:alignment vertical="center" wrapText="1"/>
    </x:xf>
    <x:xf numFmtId="0" fontId="6" fillId="13" borderId="16" xfId="0" applyNumberFormat="1" applyFont="1" applyFill="1" applyBorder="1" applyAlignment="1">
      <x:alignment vertical="center" wrapText="1"/>
    </x:xf>
    <x:xf numFmtId="0" fontId="6" fillId="13" borderId="17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7c979ea7464cc6" /><Relationship Type="http://schemas.openxmlformats.org/officeDocument/2006/relationships/theme" Target="/xl/theme/theme1.xml" Id="Rdba22b57a39348cb" /><Relationship Type="http://schemas.microsoft.com/office/2022/11/relationships/FeaturePropertyBag" Target="/xl/featurePropertyBag/featurePropertyBag.xml" Id="R0034ab4b9a704492" /><Relationship Type="http://schemas.openxmlformats.org/officeDocument/2006/relationships/sharedStrings" Target="/xl/sharedStrings.xml" Id="Rab251fbc39ce4f8c" /><Relationship Type="http://schemas.openxmlformats.org/officeDocument/2006/relationships/worksheet" Target="/xl/worksheets/sheet1.xml" Id="R9ece0d56fbf9489d" /><Relationship Type="http://schemas.openxmlformats.org/officeDocument/2006/relationships/worksheet" Target="/xl/worksheets/sheet2.xml" Id="Rb26cfb33408a4b81" /><Relationship Type="http://schemas.openxmlformats.org/officeDocument/2006/relationships/worksheet" Target="/xl/worksheets/sheet3.xml" Id="Red858a7da1d0451d" /><Relationship Type="http://schemas.openxmlformats.org/officeDocument/2006/relationships/worksheet" Target="/xl/worksheets/sheet4.xml" Id="R6cf5643bd1ad4d04" /><Relationship Type="http://schemas.openxmlformats.org/officeDocument/2006/relationships/worksheet" Target="/xl/worksheets/sheet5.xml" Id="Rdebdad65c9834108" /><Relationship Type="http://schemas.openxmlformats.org/officeDocument/2006/relationships/worksheet" Target="/xl/worksheets/sheet6.xml" Id="Rd2eec9c1c45846b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f31d820d19341d3" /><Relationship Type="http://schemas.openxmlformats.org/officeDocument/2006/relationships/chart" Target="/xl/drawings/charts/chart2.xml" Id="R411db48327254f6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OpenMPスレッド数とTrajectory時間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Trajectory [s]</c:v>
          </c:tx>
          <c:marker>
            <c:symbol val="none"/>
          </c:marker>
          <c:cat>
            <c:strRef>
              <c:f>'Charts'!$A$4:$A$11</c:f>
              <c:strCache>
                <c:ptCount val="0"/>
              </c:strCache>
            </c:strRef>
          </c:cat>
          <c:val>
            <c:numRef>
              <c:f>'Charts'!$B$4:$B$11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OpenMP threads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Time [s]</a:t>
                </a:r>
              </a:p>
            </c:rich>
          </c:tx>
          <c:overlay val="0"/>
        </c:title>
        <c:numFmt formatCode="0.0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実測高速化率と理想値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Measured speedup</c:v>
          </c:tx>
          <c:marker>
            <c:symbol val="none"/>
          </c:marker>
          <c:cat>
            <c:strRef>
              <c:f>'Charts'!$F$4:$F$11</c:f>
              <c:strCache>
                <c:ptCount val="0"/>
              </c:strCache>
            </c:strRef>
          </c:cat>
          <c:val>
            <c:numRef>
              <c:f>'Charts'!$G$4:$G$11</c:f>
              <c:numCache>
                <c:formatCode>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Ideal speedup</c:v>
          </c:tx>
          <c:marker>
            <c:symbol val="none"/>
          </c:marker>
          <c:cat>
            <c:strRef>
              <c:f>'Charts'!$F$4:$F$11</c:f>
              <c:strCache>
                <c:ptCount val="0"/>
              </c:strCache>
            </c:strRef>
          </c:cat>
          <c:val>
            <c:numRef>
              <c:f>'Charts'!$H$4:$H$11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OpenMP threads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Speedup</a:t>
                </a:r>
              </a:p>
            </c:rich>
          </c:tx>
          <c:overlay val="0"/>
        </c:title>
        <c:numFmt formatCode="0.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f31d820d19341d3"/>
        </a:graphicData>
      </a:graphic>
    </xdr:graphicFrame>
    <xdr:clientData/>
  </xdr:twoCellAnchor>
  <xdr:twoCellAnchor>
    <xdr:from>
      <xdr:col>5</xdr:col>
      <xdr:colOff>0</xdr:colOff>
      <xdr:row>19</xdr:row>
      <xdr:rowOff>0</xdr:rowOff>
    </xdr:from>
    <xdr:to>
      <xdr:col>14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11db48327254f68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unsRawTable" displayName="RunsRawTable" ref="A1:AG9" headerRowCount="1" totalsRowCount="0" totalsRowShown="0">
  <x:tableColumns count="33">
    <x:tableColumn id="1" name="Run ID"/>
    <x:tableColumn id="2" name="Date"/>
    <x:tableColumn id="3" name="Job ID"/>
    <x:tableColumn id="4" name="State"/>
    <x:tableColumn id="5" name="System"/>
    <x:tableColumn id="6" name="CPU"/>
    <x:tableColumn id="7" name="Implementation"/>
    <x:tableColumn id="8" name="Nodes"/>
    <x:tableColumn id="9" name="MPI processes"/>
    <x:tableColumn id="10" name="OpenMP threads"/>
    <x:tableColumn id="11" name="Total workers"/>
    <x:tableColumn id="12" name="Lx"/>
    <x:tableColumn id="13" name="Ly"/>
    <x:tableColumn id="14" name="Lz"/>
    <x:tableColumn id="15" name="Lt"/>
    <x:tableColumn id="16" name="Ls"/>
    <x:tableColumn id="17" name="Trajectories"/>
    <x:tableColumn id="18" name="Slurm elapsed [s]"/>
    <x:tableColumn id="19" name="Trajectory time [s]"/>
    <x:tableColumn id="20" name="update_Nf2p1_eo [s]"/>
    <x:tableColumn id="21" name="Main time [s]"/>
    <x:tableColumn id="22" name="User CPU time [s]"/>
    <x:tableColumn id="23" name="System CPU time [s]"/>
    <x:tableColumn id="24" name="CPU utilization [%]"/>
    <x:tableColumn id="25" name="Max RSS [KiB]"/>
    <x:tableColumn id="26" name="Initial plaquette"/>
    <x:tableColumn id="27" name="Trial plaquette"/>
    <x:tableColumn id="28" name="Final plaquette"/>
    <x:tableColumn id="29" name="H(diff)"/>
    <x:tableColumn id="30" name="Accepted"/>
    <x:tableColumn id="31" name="Exit code"/>
    <x:tableColumn id="32" name="Valid"/>
    <x:tableColumn id="33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enoaConvergenceTable" displayName="GenoaConvergenceTable" ref="A14:T22" headerRowCount="1" totalsRowCount="0" totalsRowShown="0">
  <x:tableColumns count="20">
    <x:tableColumn id="1" name="OpenMP"/>
    <x:tableColumn id="2" name="Job ID"/>
    <x:tableColumn id="3" name="State"/>
    <x:tableColumn id="4" name="Exit code"/>
    <x:tableColumn id="5" name="Shift calls"/>
    <x:tableColumn id="6" name="Shift max Nconv"/>
    <x:tableColumn id="7" name="Shift Niter limit"/>
    <x:tableColumn id="8" name="Shift max diff(max)"/>
    <x:tableColumn id="9" name="Shift diff²"/>
    <x:tableColumn id="10" name="Shift Stop_cond"/>
    <x:tableColumn id="11" name="Shift判定"/>
    <x:tableColumn id="12" name="Richardson calls"/>
    <x:tableColumn id="13" name="Richardson max nconv"/>
    <x:tableColumn id="14" name="Richardson Niter limit"/>
    <x:tableColumn id="15" name="Richardson max diff2"/>
    <x:tableColumn id="16" name="Richardson Stop_cond"/>
    <x:tableColumn id="17" name="Richardson判定"/>
    <x:tableColumn id="18" name="H(diff)"/>
    <x:tableColumn id="19" name="Final plaquette"/>
    <x:tableColumn id="20" name="総合判定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a909e77ef94405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9876706fc7924ba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101f8eddb97b4c9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3" t="str">
        <x:v>LQCD-DWF-HMC Genoa OpenMP性能比較</x:v>
      </x:c>
      <x:c r="B1" s="3"/>
      <x:c r="C1" s="3"/>
      <x:c r="D1" s="3"/>
      <x:c r="E1" s="3"/>
      <x:c r="F1" s="3"/>
    </x:row>
    <x:row r="3">
      <x:c r="A3" s="6" t="str">
        <x:v>項目</x:v>
      </x:c>
      <x:c r="B3" s="15" t="str">
        <x:v>内容</x:v>
      </x:c>
    </x:row>
    <x:row r="4">
      <x:c r="A4" s="8" t="str">
        <x:v>目的</x:v>
      </x:c>
      <x:c r="B4" s="16" t="str">
        <x:v>同一のLQCD-DWF-HMC入力を用い、OpenMPスレッド数による実行時間と数値結果の変化を比較する。</x:v>
      </x:c>
    </x:row>
    <x:row r="5">
      <x:c r="A5" s="8" t="str">
        <x:v>基準実行</x:v>
      </x:c>
      <x:c r="B5" s="16" t="str">
        <x:v>1 MPI × 1 OpenMP</x:v>
      </x:c>
    </x:row>
    <x:row r="6">
      <x:c r="A6" s="8" t="str">
        <x:v>現在の比較</x:v>
      </x:c>
      <x:c r="B6" s="16" t="str">
        <x:v>1 MPI × 1/2/4/8/16/32/64/96 OpenMP</x:v>
      </x:c>
    </x:row>
    <x:row r="7">
      <x:c r="A7" s="8" t="str">
        <x:v>格子サイズ</x:v>
      </x:c>
      <x:c r="B7" s="16" t="str">
        <x:v>8 × 8 × 8 × 8</x:v>
      </x:c>
    </x:row>
    <x:row r="8">
      <x:c r="A8" s="8" t="str">
        <x:v>実装</x:v>
      </x:c>
      <x:c r="B8" s="16" t="str">
        <x:v>x86 QXS general</x:v>
      </x:c>
    </x:row>
    <x:row r="9">
      <x:c r="A9" s="8" t="str">
        <x:v>CPU</x:v>
      </x:c>
      <x:c r="B9" s="16" t="str">
        <x:v>AMD EPYC 9684X 96-Core Processor</x:v>
      </x:c>
    </x:row>
    <x:row r="10">
      <x:c r="A10" s="8" t="str">
        <x:v>高速化率</x:v>
      </x:c>
      <x:c r="B10" s="16" t="str">
        <x:v>Speedup(N) = T(1) / T(N)</x:v>
      </x:c>
    </x:row>
    <x:row r="11">
      <x:c r="A11" s="10" t="str">
        <x:v>並列効率</x:v>
      </x:c>
      <x:c r="B11" s="17" t="str">
        <x:v>Efficiency(N) = Speedup(N) / N</x:v>
      </x:c>
    </x:row>
    <x:row r="13">
      <x:c r="A13" s="13" t="str">
        <x:v>運用上の注意</x:v>
      </x:c>
      <x:c r="B13" s="13"/>
      <x:c r="C13" s="13"/>
      <x:c r="D13" s="13"/>
      <x:c r="E13" s="13"/>
      <x:c r="F13" s="13"/>
    </x:row>
    <x:row r="14">
      <x:c r="A14" s="14" t="str">
        <x:v>Runs_rawは測定原本。実測値を書き換えず、新しい実行を末尾へ追加する。</x:v>
      </x:c>
      <x:c r="B14" s="14"/>
      <x:c r="C14" s="14"/>
      <x:c r="D14" s="14"/>
      <x:c r="E14" s="14"/>
      <x:c r="F14" s="14"/>
    </x:row>
    <x:row r="15">
      <x:c r="A15" s="14" t="str">
        <x:v>Analysisの高速化率・並列効率・数値差は数式で算出する。</x:v>
      </x:c>
      <x:c r="B15" s="14"/>
      <x:c r="C15" s="14"/>
      <x:c r="D15" s="14"/>
      <x:c r="E15" s="14"/>
      <x:c r="F15" s="14"/>
    </x:row>
    <x:row r="16">
      <x:c r="A16" s="14" t="str">
        <x:v>GFlops表示はQXS general経路で不正値だったため、現時点の主要指標には採用しない。</x:v>
      </x:c>
      <x:c r="B16" s="14"/>
      <x:c r="C16" s="14"/>
      <x:c r="D16" s="14"/>
      <x:c r="E16" s="14"/>
      <x:c r="F16" s="14"/>
    </x:row>
  </x:sheetData>
  <x:mergeCells>
    <x:mergeCell ref="A1:F1"/>
    <x:mergeCell ref="A13:F13"/>
    <x:mergeCell ref="A14:F14"/>
    <x:mergeCell ref="A15:F15"/>
    <x:mergeCell ref="A16:F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22" hidden="0" customWidth="1"/>
    <x:col min="7" max="7" width="22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34" hidden="0" customWidth="1"/>
  </x:cols>
  <x:sheetData>
    <x:row r="1">
      <x:c r="A1" s="22" t="str">
        <x:v>Run ID</x:v>
      </x:c>
      <x:c r="B1" s="23" t="str">
        <x:v>Date</x:v>
      </x:c>
      <x:c r="C1" s="23" t="str">
        <x:v>Job ID</x:v>
      </x:c>
      <x:c r="D1" s="23" t="str">
        <x:v>State</x:v>
      </x:c>
      <x:c r="E1" s="23" t="str">
        <x:v>System</x:v>
      </x:c>
      <x:c r="F1" s="23" t="str">
        <x:v>CPU</x:v>
      </x:c>
      <x:c r="G1" s="23" t="str">
        <x:v>Implementation</x:v>
      </x:c>
      <x:c r="H1" s="23" t="str">
        <x:v>Nodes</x:v>
      </x:c>
      <x:c r="I1" s="23" t="str">
        <x:v>MPI processes</x:v>
      </x:c>
      <x:c r="J1" s="23" t="str">
        <x:v>OpenMP threads</x:v>
      </x:c>
      <x:c r="K1" s="23" t="str">
        <x:v>Total workers</x:v>
      </x:c>
      <x:c r="L1" s="23" t="str">
        <x:v>Lx</x:v>
      </x:c>
      <x:c r="M1" s="23" t="str">
        <x:v>Ly</x:v>
      </x:c>
      <x:c r="N1" s="23" t="str">
        <x:v>Lz</x:v>
      </x:c>
      <x:c r="O1" s="23" t="str">
        <x:v>Lt</x:v>
      </x:c>
      <x:c r="P1" s="23" t="str">
        <x:v>Ls</x:v>
      </x:c>
      <x:c r="Q1" s="23" t="str">
        <x:v>Trajectories</x:v>
      </x:c>
      <x:c r="R1" s="23" t="str">
        <x:v>Slurm elapsed [s]</x:v>
      </x:c>
      <x:c r="S1" s="23" t="str">
        <x:v>Trajectory time [s]</x:v>
      </x:c>
      <x:c r="T1" s="23" t="str">
        <x:v>update_Nf2p1_eo [s]</x:v>
      </x:c>
      <x:c r="U1" s="23" t="str">
        <x:v>Main time [s]</x:v>
      </x:c>
      <x:c r="V1" s="23" t="str">
        <x:v>User CPU time [s]</x:v>
      </x:c>
      <x:c r="W1" s="23" t="str">
        <x:v>System CPU time [s]</x:v>
      </x:c>
      <x:c r="X1" s="23" t="str">
        <x:v>CPU utilization [%]</x:v>
      </x:c>
      <x:c r="Y1" s="23" t="str">
        <x:v>Max RSS [KiB]</x:v>
      </x:c>
      <x:c r="Z1" s="23" t="str">
        <x:v>Initial plaquette</x:v>
      </x:c>
      <x:c r="AA1" s="23" t="str">
        <x:v>Trial plaquette</x:v>
      </x:c>
      <x:c r="AB1" s="23" t="str">
        <x:v>Final plaquette</x:v>
      </x:c>
      <x:c r="AC1" s="23" t="str">
        <x:v>H(diff)</x:v>
      </x:c>
      <x:c r="AD1" s="23" t="str">
        <x:v>Accepted</x:v>
      </x:c>
      <x:c r="AE1" s="23" t="str">
        <x:v>Exit code</x:v>
      </x:c>
      <x:c r="AF1" s="23" t="str">
        <x:v>Valid</x:v>
      </x:c>
      <x:c r="AG1" s="24" t="str">
        <x:v>Notes</x:v>
      </x:c>
    </x:row>
    <x:row r="2">
      <x:c r="A2" s="37" t="str">
        <x:v>genoa_1mpi_1omp_run01</x:v>
      </x:c>
      <x:c r="B2" s="38" t="n">
        <x:v>46252</x:v>
      </x:c>
      <x:c r="C2" s="39" t="str">
        <x:v>353395</x:v>
      </x:c>
      <x:c r="D2" s="39" t="str">
        <x:v>COMPLETED</x:v>
      </x:c>
      <x:c r="E2" s="39" t="str">
        <x:v>genoa</x:v>
      </x:c>
      <x:c r="F2" s="39" t="str">
        <x:v>AMD EPYC 9684X</x:v>
      </x:c>
      <x:c r="G2" s="39" t="str">
        <x:v>x86_qxs_general</x:v>
      </x:c>
      <x:c r="H2" s="39" t="n">
        <x:v>1</x:v>
      </x:c>
      <x:c r="I2" s="39" t="n">
        <x:v>1</x:v>
      </x:c>
      <x:c r="J2" s="39" t="n">
        <x:v>1</x:v>
      </x:c>
      <x:c r="K2" s="39" t="n">
        <x:v>1</x:v>
      </x:c>
      <x:c r="L2" s="39" t="n">
        <x:v>8</x:v>
      </x:c>
      <x:c r="M2" s="39" t="n">
        <x:v>8</x:v>
      </x:c>
      <x:c r="N2" s="39" t="n">
        <x:v>8</x:v>
      </x:c>
      <x:c r="O2" s="39" t="n">
        <x:v>8</x:v>
      </x:c>
      <x:c r="P2" s="39" t="n">
        <x:v>12</x:v>
      </x:c>
      <x:c r="Q2" s="39" t="n">
        <x:v>1</x:v>
      </x:c>
      <x:c r="R2" s="40" t="n">
        <x:v>307</x:v>
      </x:c>
      <x:c r="S2" s="40" t="n">
        <x:v>302.35</x:v>
      </x:c>
      <x:c r="T2" s="40" t="n">
        <x:v>302.38</x:v>
      </x:c>
      <x:c r="U2" s="40" t="n">
        <x:v>303.02</x:v>
      </x:c>
      <x:c r="V2" s="40"/>
      <x:c r="W2" s="40"/>
      <x:c r="X2" s="40"/>
      <x:c r="Y2" s="40"/>
      <x:c r="Z2" s="41" t="n">
        <x:v>0.625129946975</x:v>
      </x:c>
      <x:c r="AA2" s="41" t="n">
        <x:v>0.622916188574</x:v>
      </x:c>
      <x:c r="AB2" s="41" t="n">
        <x:v>0.622916188574</x:v>
      </x:c>
      <x:c r="AC2" s="41" t="n">
        <x:v>0.00083993</x:v>
      </x:c>
      <x:c r="AD2" s="42" t="b">
        <x:v>1</x:v>
      </x:c>
      <x:c r="AE2" s="39" t="str">
        <x:v>0:0</x:v>
      </x:c>
      <x:c r="AF2" s="43" t="b">
        <x:v>1</x:v>
      </x:c>
      <x:c r="AG2" s="16" t="str">
        <x:v>Smoke test; Metropolis_test=false</x:v>
      </x:c>
    </x:row>
    <x:row r="3">
      <x:c r="A3" s="44" t="str">
        <x:v>genoa_1mpi_2omp_run01</x:v>
      </x:c>
      <x:c r="B3" s="45" t="n">
        <x:v>46252</x:v>
      </x:c>
      <x:c r="C3" s="46" t="str">
        <x:v>353453</x:v>
      </x:c>
      <x:c r="D3" s="46" t="str">
        <x:v>COMPLETED</x:v>
      </x:c>
      <x:c r="E3" s="46" t="str">
        <x:v>genoa</x:v>
      </x:c>
      <x:c r="F3" s="46" t="str">
        <x:v>AMD EPYC 9684X</x:v>
      </x:c>
      <x:c r="G3" s="46" t="str">
        <x:v>x86_qxs_general</x:v>
      </x:c>
      <x:c r="H3" s="46" t="n">
        <x:v>1</x:v>
      </x:c>
      <x:c r="I3" s="46" t="n">
        <x:v>1</x:v>
      </x:c>
      <x:c r="J3" s="46" t="n">
        <x:v>2</x:v>
      </x:c>
      <x:c r="K3" s="46" t="n">
        <x:v>2</x:v>
      </x:c>
      <x:c r="L3" s="46" t="n">
        <x:v>8</x:v>
      </x:c>
      <x:c r="M3" s="46" t="n">
        <x:v>8</x:v>
      </x:c>
      <x:c r="N3" s="46" t="n">
        <x:v>8</x:v>
      </x:c>
      <x:c r="O3" s="46" t="n">
        <x:v>8</x:v>
      </x:c>
      <x:c r="P3" s="46" t="n">
        <x:v>12</x:v>
      </x:c>
      <x:c r="Q3" s="46" t="n">
        <x:v>1</x:v>
      </x:c>
      <x:c r="R3" s="47" t="n">
        <x:v>160.56</x:v>
      </x:c>
      <x:c r="S3" s="47" t="n">
        <x:v>157.29</x:v>
      </x:c>
      <x:c r="T3" s="47" t="n">
        <x:v>157.32</x:v>
      </x:c>
      <x:c r="U3" s="47" t="n">
        <x:v>157.98</x:v>
      </x:c>
      <x:c r="V3" s="47" t="n">
        <x:v>309.75</x:v>
      </x:c>
      <x:c r="W3" s="47" t="n">
        <x:v>1.58</x:v>
      </x:c>
      <x:c r="X3" s="47" t="n">
        <x:v>193</x:v>
      </x:c>
      <x:c r="Y3" s="47" t="n">
        <x:v>3454288</x:v>
      </x:c>
      <x:c r="Z3" s="48" t="n">
        <x:v>0.625129946975</x:v>
      </x:c>
      <x:c r="AA3" s="48" t="n">
        <x:v>0.622916188574</x:v>
      </x:c>
      <x:c r="AB3" s="48" t="n">
        <x:v>0.622916188574</x:v>
      </x:c>
      <x:c r="AC3" s="48" t="n">
        <x:v>0.00083995</x:v>
      </x:c>
      <x:c r="AD3" s="49" t="b">
        <x:v>1</x:v>
      </x:c>
      <x:c r="AE3" s="46" t="str">
        <x:v>0:0</x:v>
      </x:c>
      <x:c r="AF3" s="50" t="b">
        <x:v>1</x:v>
      </x:c>
      <x:c r="AG3" s="17" t="str">
        <x:v>Metropolis_test=false; mpirun --bind-to none</x:v>
      </x:c>
    </x:row>
    <x:row r="4">
      <x:c r="A4" t="str">
        <x:v>genoa_1mpi_4omp_run01</x:v>
      </x:c>
      <x:c r="B4" s="78" t="n">
        <x:v>46253</x:v>
      </x:c>
      <x:c r="C4" t="str">
        <x:v>370934</x:v>
      </x:c>
      <x:c r="D4" t="str">
        <x:v>COMPLETED</x:v>
      </x:c>
      <x:c r="E4" t="str">
        <x:v>genoa</x:v>
      </x:c>
      <x:c r="F4" t="str">
        <x:v>AMD EPYC 9684X</x:v>
      </x:c>
      <x:c r="G4" t="str">
        <x:v>x86_qxs_general</x:v>
      </x:c>
      <x:c r="H4" t="n">
        <x:v>1</x:v>
      </x:c>
      <x:c r="I4" t="n">
        <x:v>1</x:v>
      </x:c>
      <x:c r="J4" t="n">
        <x:v>4</x:v>
      </x:c>
      <x:c r="K4" t="n">
        <x:v>4</x:v>
      </x:c>
      <x:c r="L4" t="n">
        <x:v>8</x:v>
      </x:c>
      <x:c r="M4" t="n">
        <x:v>8</x:v>
      </x:c>
      <x:c r="N4" t="n">
        <x:v>8</x:v>
      </x:c>
      <x:c r="O4" t="n">
        <x:v>8</x:v>
      </x:c>
      <x:c r="P4" t="n">
        <x:v>12</x:v>
      </x:c>
      <x:c r="Q4" t="n">
        <x:v>1</x:v>
      </x:c>
      <x:c r="R4" s="79" t="n">
        <x:v>89</x:v>
      </x:c>
      <x:c r="S4" s="79" t="n">
        <x:v>84.77</x:v>
      </x:c>
      <x:c r="T4" s="79" t="n">
        <x:v>84.79</x:v>
      </x:c>
      <x:c r="U4" s="79" t="n">
        <x:v>85.43</x:v>
      </x:c>
      <x:c r="V4" s="79" t="n">
        <x:v>327.94</x:v>
      </x:c>
      <x:c r="W4" s="79" t="n">
        <x:v>1.54</x:v>
      </x:c>
      <x:c r="X4" s="79" t="n">
        <x:v>374</x:v>
      </x:c>
      <x:c r="Y4" s="80" t="n">
        <x:v>3457568</x:v>
      </x:c>
      <x:c r="Z4" s="81" t="n">
        <x:v>0.62512995</x:v>
      </x:c>
      <x:c r="AA4" s="81" t="n">
        <x:v>0.62291619</x:v>
      </x:c>
      <x:c r="AB4" s="81" t="n">
        <x:v>0.62291619</x:v>
      </x:c>
      <x:c r="AC4" s="82" t="n">
        <x:v>0.00083995</x:v>
      </x:c>
      <x:c r="AD4" s="18" t="b">
        <x:v>1</x:v>
      </x:c>
      <x:c r="AE4" t="str">
        <x:v>0:0</x:v>
      </x:c>
      <x:c r="AF4" s="18" t="b">
        <x:v>1</x:v>
      </x:c>
      <x:c r="AG4" t="str">
        <x:v>Metropolis_test=false; mpirun --bind-to none; plaquette/H(diff) are recorded at program-log display precision</x:v>
      </x:c>
    </x:row>
    <x:row r="5">
      <x:c r="A5" t="str">
        <x:v>genoa_1mpi_8omp_run01</x:v>
      </x:c>
      <x:c r="B5" s="78" t="n">
        <x:v>46253</x:v>
      </x:c>
      <x:c r="C5" t="str">
        <x:v>370964</x:v>
      </x:c>
      <x:c r="D5" t="str">
        <x:v>COMPLETED</x:v>
      </x:c>
      <x:c r="E5" t="str">
        <x:v>genoa</x:v>
      </x:c>
      <x:c r="F5" t="str">
        <x:v>AMD EPYC 9684X</x:v>
      </x:c>
      <x:c r="G5" t="str">
        <x:v>x86_qxs_general</x:v>
      </x:c>
      <x:c r="H5" t="n">
        <x:v>1</x:v>
      </x:c>
      <x:c r="I5" t="n">
        <x:v>1</x:v>
      </x:c>
      <x:c r="J5" t="n">
        <x:v>8</x:v>
      </x:c>
      <x:c r="K5" t="n">
        <x:v>8</x:v>
      </x:c>
      <x:c r="L5" t="n">
        <x:v>8</x:v>
      </x:c>
      <x:c r="M5" t="n">
        <x:v>8</x:v>
      </x:c>
      <x:c r="N5" t="n">
        <x:v>8</x:v>
      </x:c>
      <x:c r="O5" t="n">
        <x:v>8</x:v>
      </x:c>
      <x:c r="P5" t="n">
        <x:v>12</x:v>
      </x:c>
      <x:c r="Q5" t="n">
        <x:v>1</x:v>
      </x:c>
      <x:c r="R5" s="79" t="n">
        <x:v>50</x:v>
      </x:c>
      <x:c r="S5" s="79" t="n">
        <x:v>47.29</x:v>
      </x:c>
      <x:c r="T5" s="79" t="n">
        <x:v>47.31</x:v>
      </x:c>
      <x:c r="U5" s="79" t="n">
        <x:v>47.83</x:v>
      </x:c>
      <x:c r="V5" s="79" t="n">
        <x:v>354.82</x:v>
      </x:c>
      <x:c r="W5" s="79" t="n">
        <x:v>1.46</x:v>
      </x:c>
      <x:c r="X5" s="79" t="n">
        <x:v>716</x:v>
      </x:c>
      <x:c r="Y5" s="80" t="n">
        <x:v>3460244</x:v>
      </x:c>
      <x:c r="Z5" s="81" t="n">
        <x:v>0.62512995</x:v>
      </x:c>
      <x:c r="AA5" s="81" t="n">
        <x:v>0.62291619</x:v>
      </x:c>
      <x:c r="AB5" s="81" t="n">
        <x:v>0.62291619</x:v>
      </x:c>
      <x:c r="AC5" s="82" t="n">
        <x:v>0.00083995</x:v>
      </x:c>
      <x:c r="AD5" s="18" t="b">
        <x:v>1</x:v>
      </x:c>
      <x:c r="AE5" t="str">
        <x:v>0:0</x:v>
      </x:c>
      <x:c r="AF5" s="18" t="b">
        <x:v>1</x:v>
      </x:c>
      <x:c r="AG5" t="str">
        <x:v>Metropolis_test=false; mpirun --bind-to none; plaquette/H(diff) are recorded at program-log display precision</x:v>
      </x:c>
    </x:row>
    <x:row r="6">
      <x:c r="A6" t="str">
        <x:v>genoa_1mpi_16omp_run01</x:v>
      </x:c>
      <x:c r="B6" s="78" t="n">
        <x:v>46253</x:v>
      </x:c>
      <x:c r="C6" t="str">
        <x:v>370965</x:v>
      </x:c>
      <x:c r="D6" t="str">
        <x:v>COMPLETED</x:v>
      </x:c>
      <x:c r="E6" t="str">
        <x:v>genoa</x:v>
      </x:c>
      <x:c r="F6" t="str">
        <x:v>AMD EPYC 9684X</x:v>
      </x:c>
      <x:c r="G6" t="str">
        <x:v>x86_qxs_general</x:v>
      </x:c>
      <x:c r="H6" t="n">
        <x:v>1</x:v>
      </x:c>
      <x:c r="I6" t="n">
        <x:v>1</x:v>
      </x:c>
      <x:c r="J6" t="n">
        <x:v>16</x:v>
      </x:c>
      <x:c r="K6" t="n">
        <x:v>16</x:v>
      </x:c>
      <x:c r="L6" t="n">
        <x:v>8</x:v>
      </x:c>
      <x:c r="M6" t="n">
        <x:v>8</x:v>
      </x:c>
      <x:c r="N6" t="n">
        <x:v>8</x:v>
      </x:c>
      <x:c r="O6" t="n">
        <x:v>8</x:v>
      </x:c>
      <x:c r="P6" t="n">
        <x:v>12</x:v>
      </x:c>
      <x:c r="Q6" t="n">
        <x:v>1</x:v>
      </x:c>
      <x:c r="R6" s="79" t="n">
        <x:v>47</x:v>
      </x:c>
      <x:c r="S6" s="79" t="n">
        <x:v>42.17</x:v>
      </x:c>
      <x:c r="T6" s="79" t="n">
        <x:v>42.18</x:v>
      </x:c>
      <x:c r="U6" s="79" t="n">
        <x:v>43.1</x:v>
      </x:c>
      <x:c r="V6" s="79" t="n">
        <x:v>624.53</x:v>
      </x:c>
      <x:c r="W6" s="79" t="n">
        <x:v>1.63</x:v>
      </x:c>
      <x:c r="X6" s="79" t="n">
        <x:v>1377</x:v>
      </x:c>
      <x:c r="Y6" s="80" t="n">
        <x:v>3472436</x:v>
      </x:c>
      <x:c r="Z6" s="81" t="n">
        <x:v>0.62512995</x:v>
      </x:c>
      <x:c r="AA6" s="81" t="n">
        <x:v>0.62291619</x:v>
      </x:c>
      <x:c r="AB6" s="81" t="n">
        <x:v>0.62291619</x:v>
      </x:c>
      <x:c r="AC6" s="82" t="n">
        <x:v>0.00083995</x:v>
      </x:c>
      <x:c r="AD6" s="18" t="b">
        <x:v>1</x:v>
      </x:c>
      <x:c r="AE6" t="str">
        <x:v>0:0</x:v>
      </x:c>
      <x:c r="AF6" s="18" t="b">
        <x:v>1</x:v>
      </x:c>
      <x:c r="AG6" t="str">
        <x:v>Metropolis_test=false; mpirun --bind-to none; plaquette/H(diff) are recorded at program-log display precision</x:v>
      </x:c>
    </x:row>
    <x:row r="7">
      <x:c r="A7" t="str">
        <x:v>genoa_1mpi_32omp_run01</x:v>
      </x:c>
      <x:c r="B7" s="78" t="n">
        <x:v>46253</x:v>
      </x:c>
      <x:c r="C7" t="str">
        <x:v>370966</x:v>
      </x:c>
      <x:c r="D7" t="str">
        <x:v>COMPLETED</x:v>
      </x:c>
      <x:c r="E7" t="str">
        <x:v>genoa</x:v>
      </x:c>
      <x:c r="F7" t="str">
        <x:v>AMD EPYC 9684X</x:v>
      </x:c>
      <x:c r="G7" t="str">
        <x:v>x86_qxs_general</x:v>
      </x:c>
      <x:c r="H7" t="n">
        <x:v>1</x:v>
      </x:c>
      <x:c r="I7" t="n">
        <x:v>1</x:v>
      </x:c>
      <x:c r="J7" t="n">
        <x:v>32</x:v>
      </x:c>
      <x:c r="K7" t="n">
        <x:v>32</x:v>
      </x:c>
      <x:c r="L7" t="n">
        <x:v>8</x:v>
      </x:c>
      <x:c r="M7" t="n">
        <x:v>8</x:v>
      </x:c>
      <x:c r="N7" t="n">
        <x:v>8</x:v>
      </x:c>
      <x:c r="O7" t="n">
        <x:v>8</x:v>
      </x:c>
      <x:c r="P7" t="n">
        <x:v>12</x:v>
      </x:c>
      <x:c r="Q7" t="n">
        <x:v>1</x:v>
      </x:c>
      <x:c r="R7" s="79" t="n">
        <x:v>39</x:v>
      </x:c>
      <x:c r="S7" s="79" t="n">
        <x:v>36.32</x:v>
      </x:c>
      <x:c r="T7" s="79" t="n">
        <x:v>36.38</x:v>
      </x:c>
      <x:c r="U7" s="79" t="n">
        <x:v>36.89</x:v>
      </x:c>
      <x:c r="V7" s="79" t="n">
        <x:v>1059.26</x:v>
      </x:c>
      <x:c r="W7" s="79" t="n">
        <x:v>1.78</x:v>
      </x:c>
      <x:c r="X7" s="79" t="n">
        <x:v>2738</x:v>
      </x:c>
      <x:c r="Y7" s="80" t="n">
        <x:v>3496448</x:v>
      </x:c>
      <x:c r="Z7" s="81" t="n">
        <x:v>0.62512995</x:v>
      </x:c>
      <x:c r="AA7" s="81" t="n">
        <x:v>0.62291619</x:v>
      </x:c>
      <x:c r="AB7" s="81" t="n">
        <x:v>0.62291619</x:v>
      </x:c>
      <x:c r="AC7" s="82" t="n">
        <x:v>0.00083995</x:v>
      </x:c>
      <x:c r="AD7" s="18" t="b">
        <x:v>1</x:v>
      </x:c>
      <x:c r="AE7" t="str">
        <x:v>0:0</x:v>
      </x:c>
      <x:c r="AF7" s="18" t="b">
        <x:v>1</x:v>
      </x:c>
      <x:c r="AG7" t="str">
        <x:v>Metropolis_test=false; mpirun --bind-to none; plaquette/H(diff) are recorded at program-log display precision</x:v>
      </x:c>
    </x:row>
    <x:row r="8">
      <x:c r="A8" t="str">
        <x:v>genoa_1mpi_64omp_run01</x:v>
      </x:c>
      <x:c r="B8" s="78" t="n">
        <x:v>46253</x:v>
      </x:c>
      <x:c r="C8" t="str">
        <x:v>370967</x:v>
      </x:c>
      <x:c r="D8" t="str">
        <x:v>COMPLETED</x:v>
      </x:c>
      <x:c r="E8" t="str">
        <x:v>genoa</x:v>
      </x:c>
      <x:c r="F8" t="str">
        <x:v>AMD EPYC 9684X</x:v>
      </x:c>
      <x:c r="G8" t="str">
        <x:v>x86_qxs_general</x:v>
      </x:c>
      <x:c r="H8" t="n">
        <x:v>1</x:v>
      </x:c>
      <x:c r="I8" t="n">
        <x:v>1</x:v>
      </x:c>
      <x:c r="J8" t="n">
        <x:v>64</x:v>
      </x:c>
      <x:c r="K8" t="n">
        <x:v>64</x:v>
      </x:c>
      <x:c r="L8" t="n">
        <x:v>8</x:v>
      </x:c>
      <x:c r="M8" t="n">
        <x:v>8</x:v>
      </x:c>
      <x:c r="N8" t="n">
        <x:v>8</x:v>
      </x:c>
      <x:c r="O8" t="n">
        <x:v>8</x:v>
      </x:c>
      <x:c r="P8" t="n">
        <x:v>12</x:v>
      </x:c>
      <x:c r="Q8" t="n">
        <x:v>1</x:v>
      </x:c>
      <x:c r="R8" s="79" t="n">
        <x:v>38</x:v>
      </x:c>
      <x:c r="S8" s="79" t="n">
        <x:v>34.54</x:v>
      </x:c>
      <x:c r="T8" s="79" t="n">
        <x:v>34.56</x:v>
      </x:c>
      <x:c r="U8" s="79" t="n">
        <x:v>35.12</x:v>
      </x:c>
      <x:c r="V8" s="79" t="n">
        <x:v>2001.72</x:v>
      </x:c>
      <x:c r="W8" s="79" t="n">
        <x:v>2.42</x:v>
      </x:c>
      <x:c r="X8" s="79" t="n">
        <x:v>5418</x:v>
      </x:c>
      <x:c r="Y8" s="80" t="n">
        <x:v>3545788</x:v>
      </x:c>
      <x:c r="Z8" s="81" t="n">
        <x:v>0.62512995</x:v>
      </x:c>
      <x:c r="AA8" s="81" t="n">
        <x:v>0.62291619</x:v>
      </x:c>
      <x:c r="AB8" s="81" t="n">
        <x:v>0.62291619</x:v>
      </x:c>
      <x:c r="AC8" s="82" t="n">
        <x:v>0.00083995</x:v>
      </x:c>
      <x:c r="AD8" s="18" t="b">
        <x:v>1</x:v>
      </x:c>
      <x:c r="AE8" t="str">
        <x:v>0:0</x:v>
      </x:c>
      <x:c r="AF8" s="18" t="b">
        <x:v>1</x:v>
      </x:c>
      <x:c r="AG8" t="str">
        <x:v>Metropolis_test=false; mpirun --bind-to none; plaquette/H(diff) are recorded at program-log display precision</x:v>
      </x:c>
    </x:row>
    <x:row r="9">
      <x:c r="A9" t="str">
        <x:v>genoa_1mpi_96omp_run01</x:v>
      </x:c>
      <x:c r="B9" s="78" t="n">
        <x:v>46253</x:v>
      </x:c>
      <x:c r="C9" t="str">
        <x:v>370968</x:v>
      </x:c>
      <x:c r="D9" t="str">
        <x:v>COMPLETED</x:v>
      </x:c>
      <x:c r="E9" t="str">
        <x:v>genoa</x:v>
      </x:c>
      <x:c r="F9" t="str">
        <x:v>AMD EPYC 9684X</x:v>
      </x:c>
      <x:c r="G9" t="str">
        <x:v>x86_qxs_general</x:v>
      </x:c>
      <x:c r="H9" t="n">
        <x:v>1</x:v>
      </x:c>
      <x:c r="I9" t="n">
        <x:v>1</x:v>
      </x:c>
      <x:c r="J9" t="n">
        <x:v>96</x:v>
      </x:c>
      <x:c r="K9" t="n">
        <x:v>96</x:v>
      </x:c>
      <x:c r="L9" t="n">
        <x:v>8</x:v>
      </x:c>
      <x:c r="M9" t="n">
        <x:v>8</x:v>
      </x:c>
      <x:c r="N9" t="n">
        <x:v>8</x:v>
      </x:c>
      <x:c r="O9" t="n">
        <x:v>8</x:v>
      </x:c>
      <x:c r="P9" t="n">
        <x:v>12</x:v>
      </x:c>
      <x:c r="Q9" t="n">
        <x:v>1</x:v>
      </x:c>
      <x:c r="R9" s="79" t="n">
        <x:v>39</x:v>
      </x:c>
      <x:c r="S9" s="79" t="n">
        <x:v>36.32</x:v>
      </x:c>
      <x:c r="T9" s="79" t="n">
        <x:v>36.34</x:v>
      </x:c>
      <x:c r="U9" s="79" t="n">
        <x:v>37.22</x:v>
      </x:c>
      <x:c r="V9" s="79" t="n">
        <x:v>3164.41</x:v>
      </x:c>
      <x:c r="W9" s="79" t="n">
        <x:v>3.38</x:v>
      </x:c>
      <x:c r="X9" s="79" t="n">
        <x:v>8093</x:v>
      </x:c>
      <x:c r="Y9" s="80" t="n">
        <x:v>3604760</x:v>
      </x:c>
      <x:c r="Z9" s="81" t="n">
        <x:v>0.62512995</x:v>
      </x:c>
      <x:c r="AA9" s="81" t="n">
        <x:v>0.62291619</x:v>
      </x:c>
      <x:c r="AB9" s="81" t="n">
        <x:v>0.62291619</x:v>
      </x:c>
      <x:c r="AC9" s="82" t="n">
        <x:v>0.00083995</x:v>
      </x:c>
      <x:c r="AD9" s="18" t="b">
        <x:v>1</x:v>
      </x:c>
      <x:c r="AE9" t="str">
        <x:v>0:0</x:v>
      </x:c>
      <x:c r="AF9" s="18" t="b">
        <x:v>1</x:v>
      </x:c>
      <x:c r="AG9" t="str">
        <x:v>Metropolis_test=false; mpirun --bind-to none; plaquette/H(diff) are recorded at program-log display precision</x:v>
      </x:c>
    </x:row>
  </x:sheetData>
  <x:pageMargins left="0.7" right="0.7" top="0.75" bottom="0.75" header="0.3" footer="0.3"/>
  <x:tableParts count="1">
    <x:tablePart xmlns:r="http://schemas.openxmlformats.org/officeDocument/2006/relationships" r:id="R4a909e77ef94405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2" t="str">
        <x:v>OpenMPスケーリング分析</x:v>
      </x:c>
      <x:c r="B1" s="2"/>
      <x:c r="C1" s="2"/>
      <x:c r="D1" s="2"/>
      <x:c r="E1" s="2"/>
      <x:c r="F1" s="2"/>
      <x:c r="G1" s="2"/>
      <x:c r="H1" s="2"/>
    </x:row>
    <x:row r="3">
      <x:c r="A3" s="52" t="str">
        <x:v>OpenMP threads</x:v>
      </x:c>
      <x:c r="B3" s="53" t="str">
        <x:v>Trajectory [s]</x:v>
      </x:c>
      <x:c r="C3" s="53" t="str">
        <x:v>Speedup</x:v>
      </x:c>
      <x:c r="D3" s="53" t="str">
        <x:v>Efficiency</x:v>
      </x:c>
      <x:c r="E3" s="53" t="str">
        <x:v>Final plaquette</x:v>
      </x:c>
      <x:c r="F3" s="53" t="str">
        <x:v>|Δ plaquette|</x:v>
      </x:c>
      <x:c r="G3" s="53" t="str">
        <x:v>H(diff)</x:v>
      </x:c>
      <x:c r="H3" s="15" t="str">
        <x:v>|Δ H(diff)|</x:v>
      </x:c>
    </x:row>
    <x:row r="4">
      <x:c r="A4" s="109" t="n">
        <x:f>'Runs_raw'!J2</x:f>
        <x:v>1</x:v>
      </x:c>
      <x:c r="B4" s="84" t="n">
        <x:f>'Runs_raw'!S2</x:f>
        <x:v>302.35</x:v>
      </x:c>
      <x:c r="C4" s="84" t="n">
        <x:f>B$4/B4</x:f>
        <x:v>1</x:v>
      </x:c>
      <x:c r="D4" s="85" t="n">
        <x:f>C4/A4</x:f>
        <x:v>1</x:v>
      </x:c>
      <x:c r="E4" s="86" t="n">
        <x:f>'Runs_raw'!AB2</x:f>
        <x:v>0.622916188574</x:v>
      </x:c>
      <x:c r="F4" s="86" t="n">
        <x:f>ABS(E4-E$4)</x:f>
        <x:v>0</x:v>
      </x:c>
      <x:c r="G4" s="87" t="n">
        <x:f>'Runs_raw'!AC2</x:f>
        <x:v>0.00083993</x:v>
      </x:c>
      <x:c r="H4" s="105" t="n">
        <x:f>ABS(G4-G$4)</x:f>
        <x:v>0</x:v>
      </x:c>
    </x:row>
    <x:row r="5">
      <x:c r="A5" s="109" t="n">
        <x:f>'Runs_raw'!J3</x:f>
        <x:v>2</x:v>
      </x:c>
      <x:c r="B5" s="84" t="n">
        <x:f>'Runs_raw'!S3</x:f>
        <x:v>157.29</x:v>
      </x:c>
      <x:c r="C5" s="84" t="n">
        <x:f>B$4/B5</x:f>
        <x:v>1.92224553372751</x:v>
      </x:c>
      <x:c r="D5" s="85" t="n">
        <x:f>C5/A5</x:f>
        <x:v>0.961122766863755</x:v>
      </x:c>
      <x:c r="E5" s="86" t="n">
        <x:f>'Runs_raw'!AB3</x:f>
        <x:v>0.622916188574</x:v>
      </x:c>
      <x:c r="F5" s="86" t="n">
        <x:f>ABS(E5-E$4)</x:f>
        <x:v>0</x:v>
      </x:c>
      <x:c r="G5" s="87" t="n">
        <x:f>'Runs_raw'!AC3</x:f>
        <x:v>0.00083995</x:v>
      </x:c>
      <x:c r="H5" s="105" t="n">
        <x:f>ABS(G5-G$4)</x:f>
        <x:v>1.9999999999989644e-8</x:v>
      </x:c>
    </x:row>
    <x:row r="6">
      <x:c r="A6" s="109" t="n">
        <x:f>'Runs_raw'!J4</x:f>
        <x:v>4</x:v>
      </x:c>
      <x:c r="B6" s="84" t="n">
        <x:f>'Runs_raw'!S4</x:f>
        <x:v>84.77</x:v>
      </x:c>
      <x:c r="C6" s="84" t="n">
        <x:f>B$4/B6</x:f>
        <x:v>3.566709920962605</x:v>
      </x:c>
      <x:c r="D6" s="85" t="n">
        <x:f>C6/A6</x:f>
        <x:v>0.8916774802406513</x:v>
      </x:c>
      <x:c r="E6" s="86" t="n">
        <x:f>'Runs_raw'!AB4</x:f>
        <x:v>0.62291619</x:v>
      </x:c>
      <x:c r="F6" s="86" t="n">
        <x:f>ABS(E6-E$4)</x:f>
        <x:v>1.425999984761006e-9</x:v>
      </x:c>
      <x:c r="G6" s="87" t="n">
        <x:f>'Runs_raw'!AC4</x:f>
        <x:v>0.00083995</x:v>
      </x:c>
      <x:c r="H6" s="105" t="n">
        <x:f>ABS(G6-G$4)</x:f>
        <x:v>1.9999999999989644e-8</x:v>
      </x:c>
    </x:row>
    <x:row r="7">
      <x:c r="A7" s="109" t="n">
        <x:f>'Runs_raw'!J5</x:f>
        <x:v>8</x:v>
      </x:c>
      <x:c r="B7" s="84" t="n">
        <x:f>'Runs_raw'!S5</x:f>
        <x:v>47.29</x:v>
      </x:c>
      <x:c r="C7" s="84" t="n">
        <x:f>B$4/B7</x:f>
        <x:v>6.393529287375767</x:v>
      </x:c>
      <x:c r="D7" s="85" t="n">
        <x:f>C7/A7</x:f>
        <x:v>0.7991911609219708</x:v>
      </x:c>
      <x:c r="E7" s="86" t="n">
        <x:f>'Runs_raw'!AB5</x:f>
        <x:v>0.62291619</x:v>
      </x:c>
      <x:c r="F7" s="86" t="n">
        <x:f>ABS(E7-E$4)</x:f>
        <x:v>1.425999984761006e-9</x:v>
      </x:c>
      <x:c r="G7" s="87" t="n">
        <x:f>'Runs_raw'!AC5</x:f>
        <x:v>0.00083995</x:v>
      </x:c>
      <x:c r="H7" s="105" t="n">
        <x:f>ABS(G7-G$4)</x:f>
        <x:v>1.9999999999989644e-8</x:v>
      </x:c>
    </x:row>
    <x:row r="8">
      <x:c r="A8" s="110" t="n">
        <x:f>'Runs_raw'!J6</x:f>
        <x:v>16</x:v>
      </x:c>
      <x:c r="B8" s="112" t="n">
        <x:f>'Runs_raw'!S6</x:f>
        <x:v>42.17</x:v>
      </x:c>
      <x:c r="C8" s="112" t="n">
        <x:f>B$4/B8</x:f>
        <x:v>7.169788949490159</x:v>
      </x:c>
      <x:c r="D8" s="114" t="n">
        <x:f>C8/A8</x:f>
        <x:v>0.44811180934313494</x:v>
      </x:c>
      <x:c r="E8" s="86" t="n">
        <x:f>'Runs_raw'!AB6</x:f>
        <x:v>0.62291619</x:v>
      </x:c>
      <x:c r="F8" s="86" t="n">
        <x:f>ABS(E8-E$4)</x:f>
        <x:v>1.425999984761006e-9</x:v>
      </x:c>
      <x:c r="G8" s="87" t="n">
        <x:f>'Runs_raw'!AC6</x:f>
        <x:v>0.00083995</x:v>
      </x:c>
      <x:c r="H8" s="105" t="n">
        <x:f>ABS(G8-G$4)</x:f>
        <x:v>1.9999999999989644e-8</x:v>
      </x:c>
    </x:row>
    <x:row r="9">
      <x:c r="A9" s="111" t="n">
        <x:f>'Runs_raw'!J7</x:f>
        <x:v>32</x:v>
      </x:c>
      <x:c r="B9" s="113" t="n">
        <x:f>'Runs_raw'!S7</x:f>
        <x:v>36.32</x:v>
      </x:c>
      <x:c r="C9" s="84" t="n">
        <x:f>B$4/B9</x:f>
        <x:v>8.324614537444935</x:v>
      </x:c>
      <x:c r="D9" s="115" t="n">
        <x:f>C9/A9</x:f>
        <x:v>0.2601442042951542</x:v>
      </x:c>
      <x:c r="E9" s="116" t="n">
        <x:f>'Runs_raw'!AB7</x:f>
        <x:v>0.62291619</x:v>
      </x:c>
      <x:c r="F9" s="116" t="n">
        <x:f>ABS(E9-E$4)</x:f>
        <x:v>1.425999984761006e-9</x:v>
      </x:c>
      <x:c r="G9" s="117" t="n">
        <x:f>'Runs_raw'!AC7</x:f>
        <x:v>0.00083995</x:v>
      </x:c>
      <x:c r="H9" s="118" t="n">
        <x:f>ABS(G9-G$4)</x:f>
        <x:v>1.9999999999989644e-8</x:v>
      </x:c>
    </x:row>
    <x:row r="10">
      <x:c r="A10" s="109" t="n">
        <x:f>'Runs_raw'!J8</x:f>
        <x:v>64</x:v>
      </x:c>
      <x:c r="B10" s="84" t="n">
        <x:f>'Runs_raw'!S8</x:f>
        <x:v>34.54</x:v>
      </x:c>
      <x:c r="C10" s="84" t="n">
        <x:f>B$4/B10</x:f>
        <x:v>8.753618992472497</x:v>
      </x:c>
      <x:c r="D10" s="115" t="n">
        <x:f>C10/A10</x:f>
        <x:v>0.13677529675738276</x:v>
      </x:c>
      <x:c r="E10" s="86" t="n">
        <x:f>'Runs_raw'!AB8</x:f>
        <x:v>0.62291619</x:v>
      </x:c>
      <x:c r="F10" s="86" t="n">
        <x:f>ABS(E10-E$4)</x:f>
        <x:v>1.425999984761006e-9</x:v>
      </x:c>
      <x:c r="G10" s="87" t="n">
        <x:f>'Runs_raw'!AC8</x:f>
        <x:v>0.00083995</x:v>
      </x:c>
      <x:c r="H10" s="105" t="n">
        <x:f>ABS(G10-G$4)</x:f>
        <x:v>1.9999999999989644e-8</x:v>
      </x:c>
    </x:row>
    <x:row r="11">
      <x:c r="A11" s="109" t="n">
        <x:f>'Runs_raw'!J9</x:f>
        <x:v>96</x:v>
      </x:c>
      <x:c r="B11" s="84" t="n">
        <x:f>'Runs_raw'!S9</x:f>
        <x:v>36.32</x:v>
      </x:c>
      <x:c r="C11" s="84" t="n">
        <x:f>B$4/B11</x:f>
        <x:v>8.324614537444935</x:v>
      </x:c>
      <x:c r="D11" s="115" t="n">
        <x:f>C11/A11</x:f>
        <x:v>0.08671473476505141</x:v>
      </x:c>
      <x:c r="E11" s="86" t="n">
        <x:f>'Runs_raw'!AB9</x:f>
        <x:v>0.62291619</x:v>
      </x:c>
      <x:c r="F11" s="86" t="n">
        <x:f>ABS(E11-E$4)</x:f>
        <x:v>1.425999984761006e-9</x:v>
      </x:c>
      <x:c r="G11" s="87" t="n">
        <x:f>'Runs_raw'!AC9</x:f>
        <x:v>0.00083995</x:v>
      </x:c>
      <x:c r="H11" s="105" t="n">
        <x:f>ABS(G11-G$4)</x:f>
        <x:v>1.9999999999989644e-8</x:v>
      </x:c>
    </x:row>
    <x:row r="12">
      <x:c r="A12" s="8"/>
      <x:c r="B12" s="68"/>
      <x:c r="D12" s="75"/>
      <x:c r="E12" s="25"/>
      <x:c r="F12" s="25"/>
      <x:c r="G12" s="25"/>
      <x:c r="H12" s="9"/>
    </x:row>
    <x:row r="13">
      <x:c r="A13" s="10"/>
      <x:c r="B13" s="69"/>
      <x:c r="D13" s="76"/>
      <x:c r="E13" s="27"/>
      <x:c r="F13" s="27"/>
      <x:c r="G13" s="27"/>
      <x:c r="H13" s="11"/>
    </x:row>
    <x:row r="14">
      <x:c r="A14" s="120" t="str">
        <x:v>主要結果</x:v>
      </x:c>
      <x:c r="B14" s="120"/>
      <x:c r="C14" s="120"/>
      <x:c r="D14" s="120"/>
      <x:c r="E14" s="120"/>
      <x:c r="F14" s="120"/>
      <x:c r="G14" s="120"/>
      <x:c r="H14" s="120"/>
    </x:row>
    <x:row r="15">
      <x:c r="A15" s="123" t="str">
        <x:v>指標</x:v>
      </x:c>
      <x:c r="B15" s="124" t="str">
        <x:v>値</x:v>
      </x:c>
      <x:c r="C15"/>
      <x:c r="D15" s="126" t="str">
        <x:v>妥当性評価</x:v>
      </x:c>
      <x:c r="E15" s="126"/>
      <x:c r="F15" s="126"/>
      <x:c r="G15" s="126"/>
      <x:c r="H15" s="126"/>
    </x:row>
    <x:row r="16">
      <x:c r="A16" s="102" t="str">
        <x:v>最短時間のスレッド数</x:v>
      </x:c>
      <x:c r="B16" s="109" t="n">
        <x:f>INDEX(A4:A11,MATCH(MIN(B4:B11),B4:B11,0))</x:f>
        <x:v>64</x:v>
      </x:c>
      <x:c r="C16"/>
      <x:c r="D16" s="102" t="str">
        <x:v>終了状態</x:v>
      </x:c>
      <x:c r="E16" s="102" t="str">
        <x:v>全8条件COMPLETED</x:v>
      </x:c>
      <x:c r="F16"/>
      <x:c r="G16"/>
      <x:c r="H16"/>
    </x:row>
    <x:row r="17">
      <x:c r="A17" s="102" t="str">
        <x:v>最大高速化率</x:v>
      </x:c>
      <x:c r="B17" s="84" t="n">
        <x:f>MAX(C4:C11)</x:f>
        <x:v>8.753618992472497</x:v>
      </x:c>
      <x:c r="C17"/>
      <x:c r="D17" s="102" t="str">
        <x:v>初期plaquette</x:v>
      </x:c>
      <x:c r="E17" s="102" t="str">
        <x:v>表示精度内で一致</x:v>
      </x:c>
      <x:c r="F17"/>
      <x:c r="G17"/>
      <x:c r="H17"/>
    </x:row>
    <x:row r="18">
      <x:c r="A18" s="102" t="str">
        <x:v>最短Trajectory [s]</x:v>
      </x:c>
      <x:c r="B18" s="84" t="n">
        <x:f>MIN(B4:B11)</x:f>
        <x:v>34.54</x:v>
      </x:c>
      <x:c r="C18"/>
      <x:c r="D18" s="102" t="str">
        <x:v>最終plaquette</x:v>
      </x:c>
      <x:c r="E18" s="102" t="str">
        <x:v>表示精度内で一致</x:v>
      </x:c>
      <x:c r="F18"/>
      <x:c r="G18"/>
      <x:c r="H18"/>
    </x:row>
    <x:row r="19">
      <x:c r="A19" s="102" t="str">
        <x:v>96/64時間比</x:v>
      </x:c>
      <x:c r="B19" s="108" t="n">
        <x:f>B11/B10</x:f>
        <x:v>1.0515344528083381</x:v>
      </x:c>
      <x:c r="C19"/>
      <x:c r="D19" s="102" t="str">
        <x:v>H(diff)</x:v>
      </x:c>
      <x:c r="E19" s="102" t="str">
        <x:v>表示精度内で一致</x:v>
      </x:c>
      <x:c r="F19"/>
      <x:c r="G19"/>
      <x:c r="H19"/>
    </x:row>
  </x:sheetData>
  <x:mergeCells>
    <x:mergeCell ref="A1:H1"/>
    <x:mergeCell ref="A14:H14"/>
    <x:mergeCell ref="D15:H1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2" t="str">
        <x:v>OpenMP性能グラフ</x:v>
      </x:c>
      <x:c r="B1" s="2"/>
      <x:c r="C1" s="2"/>
      <x:c r="D1" s="2"/>
      <x:c r="E1" s="2"/>
      <x:c r="F1" s="2"/>
      <x:c r="G1" s="2"/>
      <x:c r="H1" s="2"/>
    </x:row>
    <x:row r="3">
      <x:c r="A3" s="6" t="str">
        <x:v>Threads</x:v>
      </x:c>
      <x:c r="B3" s="77" t="str">
        <x:v>Trajectory [s]</x:v>
      </x:c>
      <x:c r="C3" s="77" t="str">
        <x:v>Measured speedup</x:v>
      </x:c>
      <x:c r="D3" s="7" t="str">
        <x:v>Ideal speedup</x:v>
      </x:c>
      <x:c r="F3" t="str">
        <x:v>Threads</x:v>
      </x:c>
      <x:c r="G3" t="str">
        <x:v>Measured speedup</x:v>
      </x:c>
      <x:c r="H3" t="str">
        <x:v>Ideal speedup</x:v>
      </x:c>
    </x:row>
    <x:row r="4">
      <x:c r="A4" s="8" t="n">
        <x:f>'Analysis'!A4</x:f>
        <x:v>1</x:v>
      </x:c>
      <x:c r="B4" s="25" t="n">
        <x:f>'Analysis'!B4</x:f>
        <x:v>302.35</x:v>
      </x:c>
      <x:c r="C4" s="25" t="n">
        <x:f>'Analysis'!C4</x:f>
        <x:v>1</x:v>
      </x:c>
      <x:c r="D4" s="9" t="n">
        <x:f>A4</x:f>
        <x:v>1</x:v>
      </x:c>
      <x:c r="F4" t="n">
        <x:f>'Analysis'!A4</x:f>
        <x:v>1</x:v>
      </x:c>
      <x:c r="G4" t="n">
        <x:f>'Analysis'!C4</x:f>
        <x:v>1</x:v>
      </x:c>
      <x:c r="H4" t="n">
        <x:f>F4</x:f>
        <x:v>1</x:v>
      </x:c>
    </x:row>
    <x:row r="5">
      <x:c r="A5" s="10" t="n">
        <x:f>'Analysis'!A5</x:f>
        <x:v>2</x:v>
      </x:c>
      <x:c r="B5" s="27" t="n">
        <x:f>'Analysis'!B5</x:f>
        <x:v>157.29</x:v>
      </x:c>
      <x:c r="C5" s="27" t="n">
        <x:f>'Analysis'!C5</x:f>
        <x:v>1.92224553372751</x:v>
      </x:c>
      <x:c r="D5" s="11" t="n">
        <x:f>A5</x:f>
        <x:v>2</x:v>
      </x:c>
      <x:c r="F5" t="n">
        <x:f>'Analysis'!A5</x:f>
        <x:v>2</x:v>
      </x:c>
      <x:c r="G5" t="n">
        <x:f>'Analysis'!C5</x:f>
        <x:v>1.92224553372751</x:v>
      </x:c>
      <x:c r="H5" t="n">
        <x:f>F5</x:f>
        <x:v>2</x:v>
      </x:c>
    </x:row>
    <x:row r="6">
      <x:c r="A6" t="n">
        <x:f>'Analysis'!A6</x:f>
        <x:v>4</x:v>
      </x:c>
      <x:c r="B6" t="n">
        <x:f>'Analysis'!B6</x:f>
        <x:v>84.77</x:v>
      </x:c>
      <x:c r="C6" t="n">
        <x:f>'Analysis'!C6</x:f>
        <x:v>3.566709920962605</x:v>
      </x:c>
      <x:c r="D6" t="n">
        <x:f>A6</x:f>
        <x:v>4</x:v>
      </x:c>
      <x:c r="F6" t="n">
        <x:f>'Analysis'!A6</x:f>
        <x:v>4</x:v>
      </x:c>
      <x:c r="G6" t="n">
        <x:f>'Analysis'!C6</x:f>
        <x:v>3.566709920962605</x:v>
      </x:c>
      <x:c r="H6" t="n">
        <x:f>F6</x:f>
        <x:v>4</x:v>
      </x:c>
    </x:row>
    <x:row r="7">
      <x:c r="A7" t="n">
        <x:f>'Analysis'!A7</x:f>
        <x:v>8</x:v>
      </x:c>
      <x:c r="B7" t="n">
        <x:f>'Analysis'!B7</x:f>
        <x:v>47.29</x:v>
      </x:c>
      <x:c r="C7" t="n">
        <x:f>'Analysis'!C7</x:f>
        <x:v>6.393529287375767</x:v>
      </x:c>
      <x:c r="D7" t="n">
        <x:f>A7</x:f>
        <x:v>8</x:v>
      </x:c>
      <x:c r="F7" t="n">
        <x:f>'Analysis'!A7</x:f>
        <x:v>8</x:v>
      </x:c>
      <x:c r="G7" t="n">
        <x:f>'Analysis'!C7</x:f>
        <x:v>6.393529287375767</x:v>
      </x:c>
      <x:c r="H7" t="n">
        <x:f>F7</x:f>
        <x:v>8</x:v>
      </x:c>
    </x:row>
    <x:row r="8">
      <x:c r="A8" t="n">
        <x:f>'Analysis'!A8</x:f>
        <x:v>16</x:v>
      </x:c>
      <x:c r="B8" t="n">
        <x:f>'Analysis'!B8</x:f>
        <x:v>42.17</x:v>
      </x:c>
      <x:c r="C8" t="n">
        <x:f>'Analysis'!C8</x:f>
        <x:v>7.169788949490159</x:v>
      </x:c>
      <x:c r="D8" t="n">
        <x:f>A8</x:f>
        <x:v>16</x:v>
      </x:c>
      <x:c r="F8" t="n">
        <x:f>'Analysis'!A8</x:f>
        <x:v>16</x:v>
      </x:c>
      <x:c r="G8" t="n">
        <x:f>'Analysis'!C8</x:f>
        <x:v>7.169788949490159</x:v>
      </x:c>
      <x:c r="H8" t="n">
        <x:f>F8</x:f>
        <x:v>16</x:v>
      </x:c>
    </x:row>
    <x:row r="9">
      <x:c r="A9" t="n">
        <x:f>'Analysis'!A9</x:f>
        <x:v>32</x:v>
      </x:c>
      <x:c r="B9" t="n">
        <x:f>'Analysis'!B9</x:f>
        <x:v>36.32</x:v>
      </x:c>
      <x:c r="C9" t="n">
        <x:f>'Analysis'!C9</x:f>
        <x:v>8.324614537444935</x:v>
      </x:c>
      <x:c r="D9" t="n">
        <x:f>A9</x:f>
        <x:v>32</x:v>
      </x:c>
      <x:c r="F9" t="n">
        <x:f>'Analysis'!A9</x:f>
        <x:v>32</x:v>
      </x:c>
      <x:c r="G9" t="n">
        <x:f>'Analysis'!C9</x:f>
        <x:v>8.324614537444935</x:v>
      </x:c>
      <x:c r="H9" t="n">
        <x:f>F9</x:f>
        <x:v>32</x:v>
      </x:c>
    </x:row>
    <x:row r="10">
      <x:c r="A10" t="n">
        <x:f>'Analysis'!A10</x:f>
        <x:v>64</x:v>
      </x:c>
      <x:c r="B10" t="n">
        <x:f>'Analysis'!B10</x:f>
        <x:v>34.54</x:v>
      </x:c>
      <x:c r="C10" t="n">
        <x:f>'Analysis'!C10</x:f>
        <x:v>8.753618992472497</x:v>
      </x:c>
      <x:c r="D10" t="n">
        <x:f>A10</x:f>
        <x:v>64</x:v>
      </x:c>
      <x:c r="F10" t="n">
        <x:f>'Analysis'!A10</x:f>
        <x:v>64</x:v>
      </x:c>
      <x:c r="G10" t="n">
        <x:f>'Analysis'!C10</x:f>
        <x:v>8.753618992472497</x:v>
      </x:c>
      <x:c r="H10" t="n">
        <x:f>F10</x:f>
        <x:v>64</x:v>
      </x:c>
    </x:row>
    <x:row r="11">
      <x:c r="A11" t="n">
        <x:f>'Analysis'!A11</x:f>
        <x:v>96</x:v>
      </x:c>
      <x:c r="B11" t="n">
        <x:f>'Analysis'!B11</x:f>
        <x:v>36.32</x:v>
      </x:c>
      <x:c r="C11" t="n">
        <x:f>'Analysis'!C11</x:f>
        <x:v>8.324614537444935</x:v>
      </x:c>
      <x:c r="D11" t="n">
        <x:f>A11</x:f>
        <x:v>96</x:v>
      </x:c>
      <x:c r="F11" t="n">
        <x:f>'Analysis'!A11</x:f>
        <x:v>96</x:v>
      </x:c>
      <x:c r="G11" t="n">
        <x:f>'Analysis'!C11</x:f>
        <x:v>8.324614537444935</x:v>
      </x:c>
      <x:c r="H11" t="n">
        <x:f>F11</x:f>
        <x:v>96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9876706fc7924ba8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14" hidden="0" customWidth="1"/>
    <x:col min="4" max="4" width="11" hidden="0" customWidth="1"/>
    <x:col min="5" max="5" width="12" hidden="0" customWidth="1"/>
    <x:col min="6" max="6" width="16" hidden="0" customWidth="1"/>
    <x:col min="7" max="7" width="16" hidden="0" customWidth="1"/>
    <x:col min="8" max="8" width="18" hidden="0" customWidth="1"/>
    <x:col min="9" max="9" width="15" hidden="0" customWidth="1"/>
    <x:col min="10" max="10" width="16" hidden="0" customWidth="1"/>
    <x:col min="11" max="11" width="12" hidden="0" customWidth="1"/>
    <x:col min="12" max="12" width="15" hidden="0" customWidth="1"/>
    <x:col min="13" max="13" width="19" hidden="0" customWidth="1"/>
    <x:col min="14" max="14" width="19" hidden="0" customWidth="1"/>
    <x:col min="15" max="15" width="20" hidden="0" customWidth="1"/>
    <x:col min="16" max="16" width="20" hidden="0" customWidth="1"/>
    <x:col min="17" max="17" width="15" hidden="0" customWidth="1"/>
    <x:col min="18" max="18" width="13" hidden="0" customWidth="1"/>
    <x:col min="19" max="19" width="19" hidden="0" customWidth="1"/>
    <x:col min="20" max="20" width="12" hidden="0" customWidth="1"/>
  </x:cols>
  <x:sheetData>
    <x:row r="1" ht="32" customHeight="1">
      <x:c r="A1" s="129" t="str">
        <x:v>Genoa OpenMP計測：数値解の信頼性・収束確認</x:v>
      </x:c>
      <x:c r="B1" s="129"/>
      <x:c r="C1" s="129"/>
      <x:c r="D1" s="129"/>
      <x:c r="E1" s="129"/>
      <x:c r="F1" s="129"/>
      <x:c r="G1" s="129"/>
      <x:c r="H1" s="129"/>
      <x:c r="I1" s="129"/>
      <x:c r="J1" s="129"/>
      <x:c r="K1" s="129"/>
      <x:c r="L1" s="129"/>
      <x:c r="M1" s="129"/>
      <x:c r="N1" s="129"/>
      <x:c r="O1" s="129"/>
      <x:c r="P1" s="129"/>
      <x:c r="Q1" s="129"/>
      <x:c r="R1" s="129"/>
      <x:c r="S1" s="129"/>
      <x:c r="T1" s="129"/>
    </x:row>
    <x:row r="3">
      <x:c r="A3" s="132" t="str">
        <x:v>発表用まとめ：性能差を比較しても数値結果の妥当性は維持</x:v>
      </x:c>
      <x:c r="B3" s="132"/>
      <x:c r="C3" s="132"/>
      <x:c r="D3" s="132"/>
      <x:c r="E3" s="132"/>
    </x:row>
    <x:row r="4">
      <x:c r="A4" s="148" t="str">
        <x:v>確認項目</x:v>
      </x:c>
      <x:c r="B4" s="148" t="str">
        <x:v>観測値</x:v>
      </x:c>
      <x:c r="C4" s="148" t="str">
        <x:v>判定基準</x:v>
      </x:c>
      <x:c r="D4" s="148" t="str">
        <x:v>評価</x:v>
      </x:c>
      <x:c r="E4" s="148" t="str">
        <x:v>何を示すか</x:v>
      </x:c>
    </x:row>
    <x:row r="5">
      <x:c r="A5" s="162" t="str">
        <x:v>ジョブ正常終了</x:v>
      </x:c>
      <x:c r="B5" s="162" t="str">
        <x:f>COUNTIF(C15:C22,"COMPLETED")&amp;"/8"</x:f>
        <x:v>8/8</x:v>
      </x:c>
      <x:c r="C5" s="162" t="str">
        <x:v>8/8</x:v>
      </x:c>
      <x:c r="D5" s="163" t="str">
        <x:f>IF(B5="8/8","PASS","CHECK")</x:f>
        <x:v>PASS</x:v>
      </x:c>
      <x:c r="E5" s="162" t="str">
        <x:v>プログラムが異常終了していない</x:v>
      </x:c>
    </x:row>
    <x:row r="6">
      <x:c r="A6" s="164" t="str">
        <x:v>Shift CG 最大反復回数</x:v>
      </x:c>
      <x:c r="B6" s="165" t="n">
        <x:f>MAX(F15:F22)</x:f>
        <x:v>162</x:v>
      </x:c>
      <x:c r="C6" s="165" t="n">
        <x:f>MAX(G15:G22)</x:f>
        <x:v>1000</x:v>
      </x:c>
      <x:c r="D6" s="166" t="str">
        <x:f>IF(B6&lt;C6,"PASS","CHECK")</x:f>
        <x:v>PASS</x:v>
      </x:c>
      <x:c r="E6" s="164" t="str">
        <x:v>反復上限へ到達せず停止</x:v>
      </x:c>
    </x:row>
    <x:row r="7">
      <x:c r="A7" s="164" t="str">
        <x:v>Shift CG 最大残差²</x:v>
      </x:c>
      <x:c r="B7" s="167" t="n">
        <x:f>MAX(I15:I22)</x:f>
        <x:v>9.366368400000002e-27</x:v>
      </x:c>
      <x:c r="C7" s="167" t="n">
        <x:f>MAX(J15:J22)</x:f>
        <x:v>1e-26</x:v>
      </x:c>
      <x:c r="D7" s="166" t="str">
        <x:f>IF(B7/C7&lt;1,"PASS","CHECK")</x:f>
        <x:v>PASS</x:v>
      </x:c>
      <x:c r="E7" s="164" t="str">
        <x:v>停止条件を満たしている</x:v>
      </x:c>
    </x:row>
    <x:row r="8">
      <x:c r="A8" s="164" t="str">
        <x:v>Richardson 最大反復回数</x:v>
      </x:c>
      <x:c r="B8" s="165" t="n">
        <x:f>MAX(M15:M22)</x:f>
        <x:v>4</x:v>
      </x:c>
      <x:c r="C8" s="165" t="n">
        <x:f>MAX(N15:N22)</x:f>
        <x:v>4000</x:v>
      </x:c>
      <x:c r="D8" s="166" t="str">
        <x:f>IF(B8&lt;C8,"PASS","CHECK")</x:f>
        <x:v>PASS</x:v>
      </x:c>
      <x:c r="E8" s="164" t="str">
        <x:v>外側ソルバーが十分早く停止</x:v>
      </x:c>
    </x:row>
    <x:row r="9">
      <x:c r="A9" s="164" t="str">
        <x:v>Richardson 最大 diff2</x:v>
      </x:c>
      <x:c r="B9" s="167" t="n">
        <x:f>MAX(O15:O22)</x:f>
        <x:v>5.258e-32</x:v>
      </x:c>
      <x:c r="C9" s="167" t="n">
        <x:f>MAX(P15:P22)</x:f>
        <x:v>1e-28</x:v>
      </x:c>
      <x:c r="D9" s="166" t="str">
        <x:f>IF(B9/C9&lt;1,"PASS","CHECK")</x:f>
        <x:v>PASS</x:v>
      </x:c>
      <x:c r="E9" s="164" t="str">
        <x:v>外側ソルバーの残差が閾値以下</x:v>
      </x:c>
    </x:row>
    <x:row r="10">
      <x:c r="A10" s="164" t="str">
        <x:v>H(diff) の条件間最大差</x:v>
      </x:c>
      <x:c r="B10" s="167" t="n">
        <x:f>MAX(R15:R22)-MIN(R15:R22)</x:f>
        <x:v>1.9999999999989644e-8</x:v>
      </x:c>
      <x:c r="C10" s="164" t="str">
        <x:v>表示精度内</x:v>
      </x:c>
      <x:c r="D10" s="166" t="str">
        <x:v>一致</x:v>
      </x:c>
      <x:c r="E10" s="164" t="str">
        <x:v>HMC軌道のエネルギー差が再現</x:v>
      </x:c>
    </x:row>
    <x:row r="11">
      <x:c r="A11" s="164" t="str">
        <x:v>最終 plaquette の条件間最大差</x:v>
      </x:c>
      <x:c r="B11" s="167" t="n">
        <x:f>MAX(S15:S22)-MIN(S15:S22)</x:f>
        <x:v>1.425999984761006e-9</x:v>
      </x:c>
      <x:c r="C11" s="164" t="str">
        <x:v>表示精度内</x:v>
      </x:c>
      <x:c r="D11" s="166" t="str">
        <x:v>一致</x:v>
      </x:c>
      <x:c r="E11" s="164" t="str">
        <x:v>並列構成を変えても最終物理量が再現</x:v>
      </x:c>
    </x:row>
    <x:row r="13">
      <x:c r="A13" s="146" t="str">
        <x:v>条件別の詳細（生ログから抽出）</x:v>
      </x:c>
      <x:c r="B13" s="146"/>
      <x:c r="C13" s="146"/>
      <x:c r="D13" s="146"/>
      <x:c r="E13" s="146"/>
      <x:c r="F13" s="146"/>
      <x:c r="G13" s="146"/>
      <x:c r="H13" s="146"/>
      <x:c r="I13" s="146"/>
      <x:c r="J13" s="146"/>
      <x:c r="K13" s="146"/>
      <x:c r="L13" s="146"/>
      <x:c r="M13" s="146"/>
      <x:c r="N13" s="146"/>
      <x:c r="O13" s="146"/>
      <x:c r="P13" s="146"/>
      <x:c r="Q13" s="146"/>
      <x:c r="R13" s="146"/>
      <x:c r="S13" s="146"/>
      <x:c r="T13" s="146"/>
    </x:row>
    <x:row r="14" ht="30" customHeight="1">
      <x:c r="A14" s="148" t="str">
        <x:v>OpenMP</x:v>
      </x:c>
      <x:c r="B14" s="148" t="str">
        <x:v>Job ID</x:v>
      </x:c>
      <x:c r="C14" s="148" t="str">
        <x:v>State</x:v>
      </x:c>
      <x:c r="D14" s="148" t="str">
        <x:v>Exit code</x:v>
      </x:c>
      <x:c r="E14" s="148" t="str">
        <x:v>Shift calls</x:v>
      </x:c>
      <x:c r="F14" s="148" t="str">
        <x:v>Shift max Nconv</x:v>
      </x:c>
      <x:c r="G14" s="148" t="str">
        <x:v>Shift Niter limit</x:v>
      </x:c>
      <x:c r="H14" s="148" t="str">
        <x:v>Shift max diff(max)</x:v>
      </x:c>
      <x:c r="I14" s="148" t="str">
        <x:v>Shift diff²</x:v>
      </x:c>
      <x:c r="J14" s="148" t="str">
        <x:v>Shift Stop_cond</x:v>
      </x:c>
      <x:c r="K14" s="148" t="str">
        <x:v>Shift判定</x:v>
      </x:c>
      <x:c r="L14" s="148" t="str">
        <x:v>Richardson calls</x:v>
      </x:c>
      <x:c r="M14" s="148" t="str">
        <x:v>Richardson max nconv</x:v>
      </x:c>
      <x:c r="N14" s="148" t="str">
        <x:v>Richardson Niter limit</x:v>
      </x:c>
      <x:c r="O14" s="148" t="str">
        <x:v>Richardson max diff2</x:v>
      </x:c>
      <x:c r="P14" s="148" t="str">
        <x:v>Richardson Stop_cond</x:v>
      </x:c>
      <x:c r="Q14" s="148" t="str">
        <x:v>Richardson判定</x:v>
      </x:c>
      <x:c r="R14" s="148" t="str">
        <x:v>H(diff)</x:v>
      </x:c>
      <x:c r="S14" s="148" t="str">
        <x:v>Final plaquette</x:v>
      </x:c>
      <x:c r="T14" s="148" t="str">
        <x:v>総合判定</x:v>
      </x:c>
    </x:row>
    <x:row r="15" ht="30" customHeight="1">
      <x:c r="A15" s="149" t="n">
        <x:v>1</x:v>
      </x:c>
      <x:c r="B15" s="149" t="str">
        <x:v>353395</x:v>
      </x:c>
      <x:c r="C15" s="149" t="str">
        <x:v>COMPLETED</x:v>
      </x:c>
      <x:c r="D15" s="149" t="str">
        <x:v>0:0</x:v>
      </x:c>
      <x:c r="E15" s="150" t="n">
        <x:v>19</x:v>
      </x:c>
      <x:c r="F15" s="150" t="n">
        <x:v>162</x:v>
      </x:c>
      <x:c r="G15" s="150" t="n">
        <x:v>1000</x:v>
      </x:c>
      <x:c r="H15" s="151" t="n">
        <x:v>9.678e-14</x:v>
      </x:c>
      <x:c r="I15" s="151" t="n">
        <x:f>H15*H15</x:f>
        <x:v>9.366368400000002e-27</x:v>
      </x:c>
      <x:c r="J15" s="151" t="n">
        <x:v>1e-26</x:v>
      </x:c>
      <x:c r="K15" s="156" t="str">
        <x:f>IF(AND(F15&lt;G15,I15/J15&lt;1),"PASS","CHECK")</x:f>
        <x:v>PASS</x:v>
      </x:c>
      <x:c r="L15" s="150" t="n">
        <x:v>20</x:v>
      </x:c>
      <x:c r="M15" s="150" t="n">
        <x:v>4</x:v>
      </x:c>
      <x:c r="N15" s="150" t="n">
        <x:v>4000</x:v>
      </x:c>
      <x:c r="O15" s="151" t="n">
        <x:v>5.244e-32</x:v>
      </x:c>
      <x:c r="P15" s="151" t="n">
        <x:v>1e-28</x:v>
      </x:c>
      <x:c r="Q15" s="156" t="str">
        <x:f>IF(AND(M15&lt;N15,O15/P15&lt;1),"PASS","CHECK")</x:f>
        <x:v>PASS</x:v>
      </x:c>
      <x:c r="R15" s="152" t="n">
        <x:v>0.00083993</x:v>
      </x:c>
      <x:c r="S15" s="153" t="n">
        <x:v>0.622916188574</x:v>
      </x:c>
      <x:c r="T15" s="156" t="str">
        <x:f>IF(AND(C15="COMPLETED",D15="0:0",K15="PASS",Q15="PASS"),"VALID","CHECK")</x:f>
        <x:v>VALID</x:v>
      </x:c>
    </x:row>
    <x:row r="16" ht="30" customHeight="1">
      <x:c r="A16" s="149" t="n">
        <x:v>2</x:v>
      </x:c>
      <x:c r="B16" s="149" t="str">
        <x:v>353453</x:v>
      </x:c>
      <x:c r="C16" s="149" t="str">
        <x:v>COMPLETED</x:v>
      </x:c>
      <x:c r="D16" s="149" t="str">
        <x:v>0:0</x:v>
      </x:c>
      <x:c r="E16" s="150" t="n">
        <x:v>19</x:v>
      </x:c>
      <x:c r="F16" s="150" t="n">
        <x:v>162</x:v>
      </x:c>
      <x:c r="G16" s="150" t="n">
        <x:v>1000</x:v>
      </x:c>
      <x:c r="H16" s="151" t="n">
        <x:v>9.678e-14</x:v>
      </x:c>
      <x:c r="I16" s="151" t="n">
        <x:f>H16*H16</x:f>
        <x:v>9.366368400000002e-27</x:v>
      </x:c>
      <x:c r="J16" s="151" t="n">
        <x:v>1e-26</x:v>
      </x:c>
      <x:c r="K16" s="156" t="str">
        <x:f>IF(AND(F16&lt;G16,I16/J16&lt;1),"PASS","CHECK")</x:f>
        <x:v>PASS</x:v>
      </x:c>
      <x:c r="L16" s="150" t="n">
        <x:v>20</x:v>
      </x:c>
      <x:c r="M16" s="150" t="n">
        <x:v>4</x:v>
      </x:c>
      <x:c r="N16" s="150" t="n">
        <x:v>4000</x:v>
      </x:c>
      <x:c r="O16" s="151" t="n">
        <x:v>5.253e-32</x:v>
      </x:c>
      <x:c r="P16" s="151" t="n">
        <x:v>1e-28</x:v>
      </x:c>
      <x:c r="Q16" s="156" t="str">
        <x:f>IF(AND(M16&lt;N16,O16/P16&lt;1),"PASS","CHECK")</x:f>
        <x:v>PASS</x:v>
      </x:c>
      <x:c r="R16" s="152" t="n">
        <x:v>0.00083995</x:v>
      </x:c>
      <x:c r="S16" s="153" t="n">
        <x:v>0.622916188574</x:v>
      </x:c>
      <x:c r="T16" s="156" t="str">
        <x:f>IF(AND(C16="COMPLETED",D16="0:0",K16="PASS",Q16="PASS"),"VALID","CHECK")</x:f>
        <x:v>VALID</x:v>
      </x:c>
    </x:row>
    <x:row r="17" ht="30" customHeight="1">
      <x:c r="A17" s="149" t="n">
        <x:v>4</x:v>
      </x:c>
      <x:c r="B17" s="149" t="str">
        <x:v>370934</x:v>
      </x:c>
      <x:c r="C17" s="149" t="str">
        <x:v>COMPLETED</x:v>
      </x:c>
      <x:c r="D17" s="149" t="str">
        <x:v>0:0</x:v>
      </x:c>
      <x:c r="E17" s="150" t="n">
        <x:v>19</x:v>
      </x:c>
      <x:c r="F17" s="150" t="n">
        <x:v>162</x:v>
      </x:c>
      <x:c r="G17" s="150" t="n">
        <x:v>1000</x:v>
      </x:c>
      <x:c r="H17" s="151" t="n">
        <x:v>9.678e-14</x:v>
      </x:c>
      <x:c r="I17" s="151" t="n">
        <x:f>H17*H17</x:f>
        <x:v>9.366368400000002e-27</x:v>
      </x:c>
      <x:c r="J17" s="151" t="n">
        <x:v>1e-26</x:v>
      </x:c>
      <x:c r="K17" s="156" t="str">
        <x:f>IF(AND(F17&lt;G17,I17/J17&lt;1),"PASS","CHECK")</x:f>
        <x:v>PASS</x:v>
      </x:c>
      <x:c r="L17" s="150" t="n">
        <x:v>20</x:v>
      </x:c>
      <x:c r="M17" s="150" t="n">
        <x:v>4</x:v>
      </x:c>
      <x:c r="N17" s="150" t="n">
        <x:v>4000</x:v>
      </x:c>
      <x:c r="O17" s="151" t="n">
        <x:v>5.235e-32</x:v>
      </x:c>
      <x:c r="P17" s="151" t="n">
        <x:v>1e-28</x:v>
      </x:c>
      <x:c r="Q17" s="156" t="str">
        <x:f>IF(AND(M17&lt;N17,O17/P17&lt;1),"PASS","CHECK")</x:f>
        <x:v>PASS</x:v>
      </x:c>
      <x:c r="R17" s="152" t="n">
        <x:v>0.00083995</x:v>
      </x:c>
      <x:c r="S17" s="153" t="n">
        <x:v>0.62291619</x:v>
      </x:c>
      <x:c r="T17" s="156" t="str">
        <x:f>IF(AND(C17="COMPLETED",D17="0:0",K17="PASS",Q17="PASS"),"VALID","CHECK")</x:f>
        <x:v>VALID</x:v>
      </x:c>
    </x:row>
    <x:row r="18" ht="30" customHeight="1">
      <x:c r="A18" s="149" t="n">
        <x:v>8</x:v>
      </x:c>
      <x:c r="B18" s="149" t="str">
        <x:v>370964</x:v>
      </x:c>
      <x:c r="C18" s="149" t="str">
        <x:v>COMPLETED</x:v>
      </x:c>
      <x:c r="D18" s="149" t="str">
        <x:v>0:0</x:v>
      </x:c>
      <x:c r="E18" s="150" t="n">
        <x:v>19</x:v>
      </x:c>
      <x:c r="F18" s="150" t="n">
        <x:v>162</x:v>
      </x:c>
      <x:c r="G18" s="150" t="n">
        <x:v>1000</x:v>
      </x:c>
      <x:c r="H18" s="151" t="n">
        <x:v>9.678e-14</x:v>
      </x:c>
      <x:c r="I18" s="151" t="n">
        <x:f>H18*H18</x:f>
        <x:v>9.366368400000002e-27</x:v>
      </x:c>
      <x:c r="J18" s="151" t="n">
        <x:v>1e-26</x:v>
      </x:c>
      <x:c r="K18" s="156" t="str">
        <x:f>IF(AND(F18&lt;G18,I18/J18&lt;1),"PASS","CHECK")</x:f>
        <x:v>PASS</x:v>
      </x:c>
      <x:c r="L18" s="150" t="n">
        <x:v>20</x:v>
      </x:c>
      <x:c r="M18" s="150" t="n">
        <x:v>4</x:v>
      </x:c>
      <x:c r="N18" s="150" t="n">
        <x:v>4000</x:v>
      </x:c>
      <x:c r="O18" s="151" t="n">
        <x:v>5.232e-32</x:v>
      </x:c>
      <x:c r="P18" s="151" t="n">
        <x:v>1e-28</x:v>
      </x:c>
      <x:c r="Q18" s="156" t="str">
        <x:f>IF(AND(M18&lt;N18,O18/P18&lt;1),"PASS","CHECK")</x:f>
        <x:v>PASS</x:v>
      </x:c>
      <x:c r="R18" s="152" t="n">
        <x:v>0.00083995</x:v>
      </x:c>
      <x:c r="S18" s="153" t="n">
        <x:v>0.62291619</x:v>
      </x:c>
      <x:c r="T18" s="156" t="str">
        <x:f>IF(AND(C18="COMPLETED",D18="0:0",K18="PASS",Q18="PASS"),"VALID","CHECK")</x:f>
        <x:v>VALID</x:v>
      </x:c>
    </x:row>
    <x:row r="19" ht="30" customHeight="1">
      <x:c r="A19" s="149" t="n">
        <x:v>16</x:v>
      </x:c>
      <x:c r="B19" s="149" t="str">
        <x:v>370965</x:v>
      </x:c>
      <x:c r="C19" s="149" t="str">
        <x:v>COMPLETED</x:v>
      </x:c>
      <x:c r="D19" s="149" t="str">
        <x:v>0:0</x:v>
      </x:c>
      <x:c r="E19" s="150" t="n">
        <x:v>19</x:v>
      </x:c>
      <x:c r="F19" s="150" t="n">
        <x:v>162</x:v>
      </x:c>
      <x:c r="G19" s="150" t="n">
        <x:v>1000</x:v>
      </x:c>
      <x:c r="H19" s="151" t="n">
        <x:v>9.678e-14</x:v>
      </x:c>
      <x:c r="I19" s="151" t="n">
        <x:f>H19*H19</x:f>
        <x:v>9.366368400000002e-27</x:v>
      </x:c>
      <x:c r="J19" s="151" t="n">
        <x:v>1e-26</x:v>
      </x:c>
      <x:c r="K19" s="156" t="str">
        <x:f>IF(AND(F19&lt;G19,I19/J19&lt;1),"PASS","CHECK")</x:f>
        <x:v>PASS</x:v>
      </x:c>
      <x:c r="L19" s="150" t="n">
        <x:v>20</x:v>
      </x:c>
      <x:c r="M19" s="150" t="n">
        <x:v>4</x:v>
      </x:c>
      <x:c r="N19" s="150" t="n">
        <x:v>4000</x:v>
      </x:c>
      <x:c r="O19" s="151" t="n">
        <x:v>5.256e-32</x:v>
      </x:c>
      <x:c r="P19" s="151" t="n">
        <x:v>1e-28</x:v>
      </x:c>
      <x:c r="Q19" s="156" t="str">
        <x:f>IF(AND(M19&lt;N19,O19/P19&lt;1),"PASS","CHECK")</x:f>
        <x:v>PASS</x:v>
      </x:c>
      <x:c r="R19" s="152" t="n">
        <x:v>0.00083995</x:v>
      </x:c>
      <x:c r="S19" s="153" t="n">
        <x:v>0.62291619</x:v>
      </x:c>
      <x:c r="T19" s="156" t="str">
        <x:f>IF(AND(C19="COMPLETED",D19="0:0",K19="PASS",Q19="PASS"),"VALID","CHECK")</x:f>
        <x:v>VALID</x:v>
      </x:c>
    </x:row>
    <x:row r="20" ht="30" customHeight="1">
      <x:c r="A20" s="149" t="n">
        <x:v>32</x:v>
      </x:c>
      <x:c r="B20" s="149" t="str">
        <x:v>370966</x:v>
      </x:c>
      <x:c r="C20" s="149" t="str">
        <x:v>COMPLETED</x:v>
      </x:c>
      <x:c r="D20" s="149" t="str">
        <x:v>0:0</x:v>
      </x:c>
      <x:c r="E20" s="150" t="n">
        <x:v>19</x:v>
      </x:c>
      <x:c r="F20" s="150" t="n">
        <x:v>162</x:v>
      </x:c>
      <x:c r="G20" s="150" t="n">
        <x:v>1000</x:v>
      </x:c>
      <x:c r="H20" s="151" t="n">
        <x:v>9.678e-14</x:v>
      </x:c>
      <x:c r="I20" s="151" t="n">
        <x:f>H20*H20</x:f>
        <x:v>9.366368400000002e-27</x:v>
      </x:c>
      <x:c r="J20" s="151" t="n">
        <x:v>1e-26</x:v>
      </x:c>
      <x:c r="K20" s="156" t="str">
        <x:f>IF(AND(F20&lt;G20,I20/J20&lt;1),"PASS","CHECK")</x:f>
        <x:v>PASS</x:v>
      </x:c>
      <x:c r="L20" s="150" t="n">
        <x:v>20</x:v>
      </x:c>
      <x:c r="M20" s="150" t="n">
        <x:v>4</x:v>
      </x:c>
      <x:c r="N20" s="150" t="n">
        <x:v>4000</x:v>
      </x:c>
      <x:c r="O20" s="151" t="n">
        <x:v>5.245e-32</x:v>
      </x:c>
      <x:c r="P20" s="151" t="n">
        <x:v>1e-28</x:v>
      </x:c>
      <x:c r="Q20" s="156" t="str">
        <x:f>IF(AND(M20&lt;N20,O20/P20&lt;1),"PASS","CHECK")</x:f>
        <x:v>PASS</x:v>
      </x:c>
      <x:c r="R20" s="152" t="n">
        <x:v>0.00083995</x:v>
      </x:c>
      <x:c r="S20" s="153" t="n">
        <x:v>0.62291619</x:v>
      </x:c>
      <x:c r="T20" s="156" t="str">
        <x:f>IF(AND(C20="COMPLETED",D20="0:0",K20="PASS",Q20="PASS"),"VALID","CHECK")</x:f>
        <x:v>VALID</x:v>
      </x:c>
    </x:row>
    <x:row r="21" ht="30" customHeight="1">
      <x:c r="A21" s="149" t="n">
        <x:v>64</x:v>
      </x:c>
      <x:c r="B21" s="149" t="str">
        <x:v>370967</x:v>
      </x:c>
      <x:c r="C21" s="149" t="str">
        <x:v>COMPLETED</x:v>
      </x:c>
      <x:c r="D21" s="149" t="str">
        <x:v>0:0</x:v>
      </x:c>
      <x:c r="E21" s="150" t="n">
        <x:v>19</x:v>
      </x:c>
      <x:c r="F21" s="150" t="n">
        <x:v>162</x:v>
      </x:c>
      <x:c r="G21" s="150" t="n">
        <x:v>1000</x:v>
      </x:c>
      <x:c r="H21" s="151" t="n">
        <x:v>9.678e-14</x:v>
      </x:c>
      <x:c r="I21" s="151" t="n">
        <x:f>H21*H21</x:f>
        <x:v>9.366368400000002e-27</x:v>
      </x:c>
      <x:c r="J21" s="151" t="n">
        <x:v>1e-26</x:v>
      </x:c>
      <x:c r="K21" s="156" t="str">
        <x:f>IF(AND(F21&lt;G21,I21/J21&lt;1),"PASS","CHECK")</x:f>
        <x:v>PASS</x:v>
      </x:c>
      <x:c r="L21" s="150" t="n">
        <x:v>20</x:v>
      </x:c>
      <x:c r="M21" s="150" t="n">
        <x:v>4</x:v>
      </x:c>
      <x:c r="N21" s="150" t="n">
        <x:v>4000</x:v>
      </x:c>
      <x:c r="O21" s="151" t="n">
        <x:v>5.258e-32</x:v>
      </x:c>
      <x:c r="P21" s="151" t="n">
        <x:v>1e-28</x:v>
      </x:c>
      <x:c r="Q21" s="156" t="str">
        <x:f>IF(AND(M21&lt;N21,O21/P21&lt;1),"PASS","CHECK")</x:f>
        <x:v>PASS</x:v>
      </x:c>
      <x:c r="R21" s="152" t="n">
        <x:v>0.00083995</x:v>
      </x:c>
      <x:c r="S21" s="153" t="n">
        <x:v>0.62291619</x:v>
      </x:c>
      <x:c r="T21" s="156" t="str">
        <x:f>IF(AND(C21="COMPLETED",D21="0:0",K21="PASS",Q21="PASS"),"VALID","CHECK")</x:f>
        <x:v>VALID</x:v>
      </x:c>
    </x:row>
    <x:row r="22" ht="30" customHeight="1">
      <x:c r="A22" s="149" t="n">
        <x:v>96</x:v>
      </x:c>
      <x:c r="B22" s="149" t="str">
        <x:v>370968</x:v>
      </x:c>
      <x:c r="C22" s="149" t="str">
        <x:v>COMPLETED</x:v>
      </x:c>
      <x:c r="D22" s="149" t="str">
        <x:v>0:0</x:v>
      </x:c>
      <x:c r="E22" s="150" t="n">
        <x:v>19</x:v>
      </x:c>
      <x:c r="F22" s="150" t="n">
        <x:v>162</x:v>
      </x:c>
      <x:c r="G22" s="150" t="n">
        <x:v>1000</x:v>
      </x:c>
      <x:c r="H22" s="151" t="n">
        <x:v>9.678e-14</x:v>
      </x:c>
      <x:c r="I22" s="151" t="n">
        <x:f>H22*H22</x:f>
        <x:v>9.366368400000002e-27</x:v>
      </x:c>
      <x:c r="J22" s="151" t="n">
        <x:v>1e-26</x:v>
      </x:c>
      <x:c r="K22" s="156" t="str">
        <x:f>IF(AND(F22&lt;G22,I22/J22&lt;1),"PASS","CHECK")</x:f>
        <x:v>PASS</x:v>
      </x:c>
      <x:c r="L22" s="150" t="n">
        <x:v>20</x:v>
      </x:c>
      <x:c r="M22" s="150" t="n">
        <x:v>4</x:v>
      </x:c>
      <x:c r="N22" s="150" t="n">
        <x:v>4000</x:v>
      </x:c>
      <x:c r="O22" s="151" t="n">
        <x:v>5.242e-32</x:v>
      </x:c>
      <x:c r="P22" s="151" t="n">
        <x:v>1e-28</x:v>
      </x:c>
      <x:c r="Q22" s="156" t="str">
        <x:f>IF(AND(M22&lt;N22,O22/P22&lt;1),"PASS","CHECK")</x:f>
        <x:v>PASS</x:v>
      </x:c>
      <x:c r="R22" s="152" t="n">
        <x:v>0.00083995</x:v>
      </x:c>
      <x:c r="S22" s="153" t="n">
        <x:v>0.62291619</x:v>
      </x:c>
      <x:c r="T22" s="156" t="str">
        <x:f>IF(AND(C22="COMPLETED",D22="0:0",K22="PASS",Q22="PASS"),"VALID","CHECK")</x:f>
        <x:v>VALID</x:v>
      </x:c>
    </x:row>
    <x:row r="24">
      <x:c r="A24" s="158" t="str">
        <x:v>読み方と注意</x:v>
      </x:c>
      <x:c r="B24" s="158"/>
      <x:c r="C24" s="158"/>
      <x:c r="D24" s="158"/>
      <x:c r="E24" s="158"/>
      <x:c r="F24" s="158"/>
      <x:c r="G24" s="158"/>
      <x:c r="H24" s="158"/>
      <x:c r="I24" s="158"/>
      <x:c r="J24" s="158"/>
      <x:c r="K24" s="158"/>
      <x:c r="L24" s="158"/>
      <x:c r="M24" s="158"/>
      <x:c r="N24" s="158"/>
      <x:c r="O24" s="158"/>
      <x:c r="P24" s="158"/>
      <x:c r="Q24" s="158"/>
      <x:c r="R24" s="158"/>
      <x:c r="S24" s="158"/>
      <x:c r="T24" s="158"/>
    </x:row>
    <x:row r="25" ht="24" customHeight="1">
      <x:c r="A25" s="159" t="str">
        <x:v>・Shift CGは最大162回で、上限1000回へ達していない。max diff(max)² = 9.366×10^-27 &lt; Stop_cond 1×10^-26。</x:v>
      </x:c>
      <x:c r="B25" s="159"/>
      <x:c r="C25" s="159"/>
      <x:c r="D25" s="159"/>
      <x:c r="E25" s="159"/>
      <x:c r="F25" s="159"/>
      <x:c r="G25" s="159"/>
      <x:c r="H25" s="159"/>
      <x:c r="I25" s="159"/>
      <x:c r="J25" s="159"/>
      <x:c r="K25" s="159"/>
      <x:c r="L25" s="159"/>
      <x:c r="M25" s="159"/>
      <x:c r="N25" s="159"/>
      <x:c r="O25" s="159"/>
      <x:c r="P25" s="159"/>
      <x:c r="Q25" s="159"/>
      <x:c r="R25" s="159"/>
      <x:c r="S25" s="159"/>
      <x:c r="T25" s="159"/>
    </x:row>
    <x:row r="26" ht="24" customHeight="1">
      <x:c r="A26" s="159" t="str">
        <x:v>・Richardsonは最大4回で、diff2は最大5.258×10^-32 &lt; Stop_cond 1×10^-28。</x:v>
      </x:c>
      <x:c r="B26" s="159"/>
      <x:c r="C26" s="159"/>
      <x:c r="D26" s="159"/>
      <x:c r="E26" s="159"/>
      <x:c r="F26" s="159"/>
      <x:c r="G26" s="159"/>
      <x:c r="H26" s="159"/>
      <x:c r="I26" s="159"/>
      <x:c r="J26" s="159"/>
      <x:c r="K26" s="159"/>
      <x:c r="L26" s="159"/>
      <x:c r="M26" s="159"/>
      <x:c r="N26" s="159"/>
      <x:c r="O26" s="159"/>
      <x:c r="P26" s="159"/>
      <x:c r="Q26" s="159"/>
      <x:c r="R26" s="159"/>
      <x:c r="S26" s="159"/>
      <x:c r="T26" s="159"/>
    </x:row>
    <x:row r="27" ht="24" customHeight="1">
      <x:c r="A27" s="159" t="str">
        <x:v>・H(diff)はCG単体の収束指標ではなく、HMC軌道前後のHamiltonian差。Final plaquetteと併せて並列条件間の再現性を確認する。</x:v>
      </x:c>
      <x:c r="B27" s="159"/>
      <x:c r="C27" s="159"/>
      <x:c r="D27" s="159"/>
      <x:c r="E27" s="159"/>
      <x:c r="F27" s="159"/>
      <x:c r="G27" s="159"/>
      <x:c r="H27" s="159"/>
      <x:c r="I27" s="159"/>
      <x:c r="J27" s="159"/>
      <x:c r="K27" s="159"/>
      <x:c r="L27" s="159"/>
      <x:c r="M27" s="159"/>
      <x:c r="N27" s="159"/>
      <x:c r="O27" s="159"/>
      <x:c r="P27" s="159"/>
      <x:c r="Q27" s="159"/>
      <x:c r="R27" s="159"/>
      <x:c r="S27" s="159"/>
      <x:c r="T27" s="159"/>
    </x:row>
    <x:row r="28" ht="24" customHeight="1">
      <x:c r="A28" s="159" t="str">
        <x:v>・AcceptedはMetropolis_test=false（ログ中 Random number=-1）のため、数値解の信頼性を示す主指標には使用しない。</x:v>
      </x:c>
      <x:c r="B28" s="159"/>
      <x:c r="C28" s="159"/>
      <x:c r="D28" s="159"/>
      <x:c r="E28" s="159"/>
      <x:c r="F28" s="159"/>
      <x:c r="G28" s="159"/>
      <x:c r="H28" s="159"/>
      <x:c r="I28" s="159"/>
      <x:c r="J28" s="159"/>
      <x:c r="K28" s="159"/>
      <x:c r="L28" s="159"/>
      <x:c r="M28" s="159"/>
      <x:c r="N28" s="159"/>
      <x:c r="O28" s="159"/>
      <x:c r="P28" s="159"/>
      <x:c r="Q28" s="159"/>
      <x:c r="R28" s="159"/>
      <x:c r="S28" s="159"/>
      <x:c r="T28" s="159"/>
    </x:row>
    <x:row r="30">
      <x:c r="A30" s="161" t="str">
        <x:v>出典：systems/genoa/experiments/openmp_scaling/omp*_job*/raw_logs/program-*.log および job_metadata/sacct-*.txt（2026-08-19実行）</x:v>
      </x:c>
      <x:c r="B30" s="161"/>
      <x:c r="C30" s="161"/>
      <x:c r="D30" s="161"/>
      <x:c r="E30" s="161"/>
      <x:c r="F30" s="161"/>
      <x:c r="G30" s="161"/>
      <x:c r="H30" s="161"/>
      <x:c r="I30" s="161"/>
      <x:c r="J30" s="161"/>
      <x:c r="K30" s="161"/>
      <x:c r="L30" s="161"/>
      <x:c r="M30" s="161"/>
      <x:c r="N30" s="161"/>
      <x:c r="O30" s="161"/>
      <x:c r="P30" s="161"/>
      <x:c r="Q30" s="161"/>
      <x:c r="R30" s="161"/>
      <x:c r="S30" s="161"/>
      <x:c r="T30" s="161"/>
    </x:row>
  </x:sheetData>
  <x:mergeCells>
    <x:mergeCell ref="A1:T1"/>
    <x:mergeCell ref="A3:E3"/>
    <x:mergeCell ref="A13:T13"/>
    <x:mergeCell ref="A24:T24"/>
    <x:mergeCell ref="A25:T25"/>
    <x:mergeCell ref="A26:T26"/>
    <x:mergeCell ref="A27:T27"/>
    <x:mergeCell ref="A28:T28"/>
    <x:mergeCell ref="A30:T30"/>
  </x:mergeCells>
  <x:pageMargins left="0.7" right="0.7" top="0.75" bottom="0.75" header="0.3" footer="0.3"/>
  <x:tableParts count="1">
    <x:tablePart xmlns:r="http://schemas.openxmlformats.org/officeDocument/2006/relationships" r:id="R101f8eddb97b4c9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12" hidden="0" customWidth="1"/>
    <x:col min="5" max="5" width="40" hidden="0" customWidth="1"/>
  </x:cols>
  <x:sheetData>
    <x:row r="1" ht="36" customHeight="1">
      <x:c r="A1" s="169" t="str">
        <x:v>Genoa OpenMP計測：解の信頼性確認</x:v>
      </x:c>
      <x:c r="B1" s="169"/>
      <x:c r="C1" s="169"/>
      <x:c r="D1" s="169"/>
      <x:c r="E1" s="169"/>
    </x:row>
    <x:row r="3" ht="34" customHeight="1">
      <x:c r="A3" s="171" t="str">
        <x:v>確認項目</x:v>
      </x:c>
      <x:c r="B3" s="171" t="str">
        <x:v>観測値</x:v>
      </x:c>
      <x:c r="C3" s="171" t="str">
        <x:v>判定基準</x:v>
      </x:c>
      <x:c r="D3" s="171" t="str">
        <x:v>評価</x:v>
      </x:c>
      <x:c r="E3" s="171" t="str">
        <x:v>説明</x:v>
      </x:c>
    </x:row>
    <x:row r="4" ht="34" customHeight="1">
      <x:c r="A4" s="172" t="str">
        <x:v>ジョブ正常終了</x:v>
      </x:c>
      <x:c r="B4" s="172" t="str">
        <x:f>'Convergence_Check'!B5</x:f>
        <x:v>8/8</x:v>
      </x:c>
      <x:c r="C4" s="172" t="str">
        <x:v>8/8</x:v>
      </x:c>
      <x:c r="D4" s="178" t="str">
        <x:f>'Convergence_Check'!D5</x:f>
        <x:v>PASS</x:v>
      </x:c>
      <x:c r="E4" s="172" t="str">
        <x:v>全OpenMP条件で異常終了なし</x:v>
      </x:c>
    </x:row>
    <x:row r="5" ht="34" customHeight="1">
      <x:c r="A5" s="173" t="str">
        <x:v>Shift CG 最大反復回数</x:v>
      </x:c>
      <x:c r="B5" s="180" t="n">
        <x:f>'Convergence_Check'!B6</x:f>
        <x:v>162</x:v>
      </x:c>
      <x:c r="C5" s="180" t="n">
        <x:f>'Convergence_Check'!C6</x:f>
        <x:v>1000</x:v>
      </x:c>
      <x:c r="D5" s="179" t="str">
        <x:f>'Convergence_Check'!D6</x:f>
        <x:v>PASS</x:v>
      </x:c>
      <x:c r="E5" s="173" t="str">
        <x:v>上限へ達する前に収束</x:v>
      </x:c>
    </x:row>
    <x:row r="6" ht="34" customHeight="1">
      <x:c r="A6" s="173" t="str">
        <x:v>Shift CG 最大残差²</x:v>
      </x:c>
      <x:c r="B6" s="181" t="n">
        <x:f>'Convergence_Check'!B7</x:f>
        <x:v>9.366368400000002e-27</x:v>
      </x:c>
      <x:c r="C6" s="181" t="n">
        <x:f>'Convergence_Check'!C7</x:f>
        <x:v>1e-26</x:v>
      </x:c>
      <x:c r="D6" s="179" t="str">
        <x:f>'Convergence_Check'!D7</x:f>
        <x:v>PASS</x:v>
      </x:c>
      <x:c r="E6" s="173" t="str">
        <x:v>残差二乗が停止条件未満</x:v>
      </x:c>
    </x:row>
    <x:row r="7" ht="34" customHeight="1">
      <x:c r="A7" s="173" t="str">
        <x:v>Richardson 最大反復回数</x:v>
      </x:c>
      <x:c r="B7" s="180" t="n">
        <x:f>'Convergence_Check'!B8</x:f>
        <x:v>4</x:v>
      </x:c>
      <x:c r="C7" s="180" t="n">
        <x:f>'Convergence_Check'!C8</x:f>
        <x:v>4000</x:v>
      </x:c>
      <x:c r="D7" s="179" t="str">
        <x:f>'Convergence_Check'!D8</x:f>
        <x:v>PASS</x:v>
      </x:c>
      <x:c r="E7" s="173" t="str">
        <x:v>外側ソルバーは4回で収束</x:v>
      </x:c>
    </x:row>
    <x:row r="8" ht="34" customHeight="1">
      <x:c r="A8" s="173" t="str">
        <x:v>Richardson 最大 diff2</x:v>
      </x:c>
      <x:c r="B8" s="181" t="n">
        <x:f>'Convergence_Check'!B9</x:f>
        <x:v>5.258e-32</x:v>
      </x:c>
      <x:c r="C8" s="181" t="n">
        <x:f>'Convergence_Check'!C9</x:f>
        <x:v>1e-28</x:v>
      </x:c>
      <x:c r="D8" s="179" t="str">
        <x:f>'Convergence_Check'!D9</x:f>
        <x:v>PASS</x:v>
      </x:c>
      <x:c r="E8" s="173" t="str">
        <x:v>外側残差が停止条件未満</x:v>
      </x:c>
    </x:row>
    <x:row r="9" ht="34" customHeight="1">
      <x:c r="A9" s="173" t="str">
        <x:v>H(diff) 条件間最大差</x:v>
      </x:c>
      <x:c r="B9" s="181" t="n">
        <x:f>'Convergence_Check'!B10</x:f>
        <x:v>1.9999999999989644e-8</x:v>
      </x:c>
      <x:c r="C9" s="173" t="str">
        <x:v>表示精度内</x:v>
      </x:c>
      <x:c r="D9" s="179" t="str">
        <x:f>'Convergence_Check'!D10</x:f>
        <x:v>一致</x:v>
      </x:c>
      <x:c r="E9" s="173" t="str">
        <x:v>HMC軌道の整合性を再現</x:v>
      </x:c>
    </x:row>
    <x:row r="10" ht="34" customHeight="1">
      <x:c r="A10" s="173" t="str">
        <x:v>Final plaquette 条件間最大差</x:v>
      </x:c>
      <x:c r="B10" s="181" t="n">
        <x:f>'Convergence_Check'!B11</x:f>
        <x:v>1.425999984761006e-9</x:v>
      </x:c>
      <x:c r="C10" s="173" t="str">
        <x:v>表示精度内</x:v>
      </x:c>
      <x:c r="D10" s="179" t="str">
        <x:f>'Convergence_Check'!D11</x:f>
        <x:v>一致</x:v>
      </x:c>
      <x:c r="E10" s="173" t="str">
        <x:v>最終物理量を再現</x:v>
      </x:c>
    </x:row>
    <x:row r="12" ht="31" customHeight="1">
      <x:c r="A12" s="194" t="str">
        <x:v>結論：全8条件でソルバー収束・HMC整合性・最終物理量の再現を確認した。したがって、OpenMPスレッド数による実行時間の差を、数値的妥当性を維持した性能差として比較できる。</x:v>
      </x:c>
      <x:c r="B12" s="195"/>
      <x:c r="C12" s="195"/>
      <x:c r="D12" s="195"/>
      <x:c r="E12" s="196"/>
    </x:row>
    <x:row r="13" ht="31" customHeight="1">
      <x:c r="A13" s="197"/>
      <x:c r="B13" s="198"/>
      <x:c r="C13" s="198"/>
      <x:c r="D13" s="198"/>
      <x:c r="E13" s="199"/>
    </x:row>
    <x:row r="15" ht="26" customHeight="1">
      <x:c r="A15" s="161" t="str">
        <x:v>注：H(diff)はCG残差ではなく、HMC軌道前後のHamiltonian差。AcceptedはMetropolis_test=falseのため主指標に使用しない。</x:v>
      </x:c>
      <x:c r="B15" s="161"/>
      <x:c r="C15" s="161"/>
      <x:c r="D15" s="161"/>
      <x:c r="E15" s="161"/>
    </x:row>
  </x:sheetData>
  <x:mergeCells>
    <x:mergeCell ref="A1:E1"/>
    <x:mergeCell ref="A12:E13"/>
    <x:mergeCell ref="A15:E15"/>
  </x:mergeCells>
  <x:pageMargins left="0.7" right="0.7" top="0.75" bottom="0.75" header="0.3" footer="0.3"/>
</x:worksheet>
</file>