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tern1.UNGI-7.003\Desktop\Intern reserach data 2026\LQCD_performance\systems\fugaku\experiments\acle_vs_general\fugaku_8x8x8x8_mpi4_omp12_20260820\results\consolidated_all10\"/>
    </mc:Choice>
  </mc:AlternateContent>
  <xr:revisionPtr revIDLastSave="0" documentId="13_ncr:1_{5DD0AD0E-9116-47CC-9B5F-1B5E431BB7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1_概要" sheetId="1" r:id="rId1"/>
    <sheet name="02_実験条件" sheetId="2" r:id="rId2"/>
    <sheet name="03_実行時間_10回" sheetId="3" r:id="rId3"/>
    <sheet name="04_統計比較" sheetId="4" r:id="rId4"/>
    <sheet name="05_DdagDレイヤー" sheetId="5" r:id="rId5"/>
    <sheet name="06_数値妥当性" sheetId="6" r:id="rId6"/>
    <sheet name="07_ジョブ資源" sheetId="7" r:id="rId7"/>
    <sheet name="Sheet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H11" i="4"/>
  <c r="H10" i="4"/>
  <c r="H9" i="4"/>
  <c r="H8" i="4"/>
  <c r="H7" i="4"/>
  <c r="H6" i="4"/>
  <c r="H5" i="4"/>
  <c r="D8" i="1"/>
  <c r="C8" i="1"/>
  <c r="B8" i="1"/>
  <c r="C7" i="1"/>
  <c r="D7" i="1" s="1"/>
  <c r="C6" i="1"/>
  <c r="D6" i="1" s="1"/>
  <c r="B6" i="1"/>
</calcChain>
</file>

<file path=xl/sharedStrings.xml><?xml version="1.0" encoding="utf-8"?>
<sst xmlns="http://schemas.openxmlformats.org/spreadsheetml/2006/main" count="387" uniqueCount="116">
  <si>
    <t>富岳 LQCD-DWF-HMC 性能比較 — ACLE版とGeneral版 各10回</t>
  </si>
  <si>
    <t>評価対象</t>
  </si>
  <si>
    <t>ACLE</t>
  </si>
  <si>
    <t>General</t>
  </si>
  <si>
    <t>General / ACLE</t>
  </si>
  <si>
    <t>反復</t>
  </si>
  <si>
    <t>ACLE Main [s]</t>
  </si>
  <si>
    <t>General Main [s]</t>
  </si>
  <si>
    <t>反復回数</t>
  </si>
  <si>
    <t>D†D平均時間 [s]</t>
  </si>
  <si>
    <t>Main平均時間 [s]</t>
  </si>
  <si>
    <t>平均ノードエネルギー</t>
  </si>
  <si>
    <t>結論：20ジョブすべて正常終了。10回平均でACLE版はD†D計測部を約5.11倍、Main全体を約2.52倍高速化し、物理量は全回一致しました。</t>
  </si>
  <si>
    <t>実験条件レイヤー</t>
  </si>
  <si>
    <t>分類</t>
  </si>
  <si>
    <t>項目</t>
  </si>
  <si>
    <t>設定値</t>
  </si>
  <si>
    <t>計算機</t>
  </si>
  <si>
    <t>システム</t>
  </si>
  <si>
    <t>スーパーコンピュータ「富岳」</t>
  </si>
  <si>
    <t>CPU</t>
  </si>
  <si>
    <t>Fujitsu A64FX</t>
  </si>
  <si>
    <t>資源</t>
  </si>
  <si>
    <t>ノード数 / ジョブ</t>
  </si>
  <si>
    <t>使用コア数 / ジョブ</t>
  </si>
  <si>
    <t>並列化</t>
  </si>
  <si>
    <t>MPIプロセス数</t>
  </si>
  <si>
    <t>OpenMPスレッド / MPI</t>
  </si>
  <si>
    <t>格子</t>
  </si>
  <si>
    <t>lattice_size</t>
  </si>
  <si>
    <t>8 × 8 × 8 × 8</t>
  </si>
  <si>
    <t>grid_size</t>
  </si>
  <si>
    <t>1 × 1 × 2 × 2</t>
  </si>
  <si>
    <t>アルゴリズム</t>
  </si>
  <si>
    <t>Solver</t>
  </si>
  <si>
    <t>CG</t>
  </si>
  <si>
    <t>HMC</t>
  </si>
  <si>
    <t>trajectory_number_step</t>
  </si>
  <si>
    <t>Metropolis_test</t>
  </si>
  <si>
    <t>計測</t>
  </si>
  <si>
    <t>プロファイルマクロ</t>
  </si>
  <si>
    <t>USE_DAGD_DETAIL_PROFILE</t>
  </si>
  <si>
    <t>構成</t>
  </si>
  <si>
    <t>データの内訳</t>
  </si>
  <si>
    <t>初回1回 + 追加9回</t>
  </si>
  <si>
    <t>実行時間レイヤー — 各10回の比較</t>
  </si>
  <si>
    <t>版</t>
  </si>
  <si>
    <t>実行グループ</t>
  </si>
  <si>
    <t>Job ID</t>
  </si>
  <si>
    <t>D†D [s]</t>
  </si>
  <si>
    <t>Trajectory [s]</t>
  </si>
  <si>
    <t>Update [s]</t>
  </si>
  <si>
    <t>Main [s]</t>
  </si>
  <si>
    <t>ジョブ経過 [s]</t>
  </si>
  <si>
    <t>D†D呼出し</t>
  </si>
  <si>
    <t>Exit</t>
  </si>
  <si>
    <t>PJM</t>
  </si>
  <si>
    <t>判定</t>
  </si>
  <si>
    <t>有効</t>
  </si>
  <si>
    <t>資源グループ</t>
  </si>
  <si>
    <t>Initial single run</t>
  </si>
  <si>
    <t>Accepted</t>
  </si>
  <si>
    <t>small</t>
  </si>
  <si>
    <t>Additional 9-run batch</t>
  </si>
  <si>
    <t>small-s5</t>
  </si>
  <si>
    <t>GENERAL</t>
  </si>
  <si>
    <t>small-s3</t>
  </si>
  <si>
    <t>統計比較レイヤー — 10回の平均・ばらつき</t>
  </si>
  <si>
    <t>指標</t>
  </si>
  <si>
    <t>ACLE平均</t>
  </si>
  <si>
    <t>ACLE SD</t>
  </si>
  <si>
    <t>ACLE CV</t>
  </si>
  <si>
    <t>General平均</t>
  </si>
  <si>
    <t>General SD</t>
  </si>
  <si>
    <t>General CV</t>
  </si>
  <si>
    <t>ACLE 95% CI半幅</t>
  </si>
  <si>
    <t>General 95% CI半幅</t>
  </si>
  <si>
    <t>D†D計測時間 [s]</t>
  </si>
  <si>
    <t>ジョブ経過時間 [s]</t>
  </si>
  <si>
    <t>最大メモリ [MiB]</t>
  </si>
  <si>
    <t>ノードエネルギー</t>
  </si>
  <si>
    <t>D†D内部レイヤー — 14処理の10回統計</t>
  </si>
  <si>
    <t>順序</t>
  </si>
  <si>
    <t>処理レイヤー</t>
  </si>
  <si>
    <t>ACLE平均 [s]</t>
  </si>
  <si>
    <t>General平均 [s]</t>
  </si>
  <si>
    <t>General内割合</t>
  </si>
  <si>
    <t>処理</t>
  </si>
  <si>
    <t>D_eo (odd)</t>
  </si>
  <si>
    <t>4次元 hopping / stencil</t>
  </si>
  <si>
    <t>L^-1 (1)</t>
  </si>
  <si>
    <t>第5次元・結合処理</t>
  </si>
  <si>
    <t>U^-1 (1)</t>
  </si>
  <si>
    <t>D_eo (even)</t>
  </si>
  <si>
    <t>L^-1 (2)</t>
  </si>
  <si>
    <t>U^-1 (2)</t>
  </si>
  <si>
    <t>D combine</t>
  </si>
  <si>
    <t>U†^-1 (1)</t>
  </si>
  <si>
    <t>L†^-1 (1)</t>
  </si>
  <si>
    <t>D†_eo (odd)</t>
  </si>
  <si>
    <t>U†^-1 (2)</t>
  </si>
  <si>
    <t>L†^-1 (2)</t>
  </si>
  <si>
    <t>D†_eo (even)</t>
  </si>
  <si>
    <t>D† combine</t>
  </si>
  <si>
    <t>数値妥当性レイヤー — 全20ジョブ</t>
  </si>
  <si>
    <t>plaq(init)</t>
  </si>
  <si>
    <t>plaq(trial)</t>
  </si>
  <si>
    <t>H(diff)</t>
  </si>
  <si>
    <t>plaq(final)</t>
  </si>
  <si>
    <t>全20ジョブで Exit=0、PJM=0、D†D呼出し=7,779、Accepted。表示されたplaquetteおよびH(diff)は完全一致。</t>
  </si>
  <si>
    <t>ジョブ・計算資源レイヤー</t>
  </si>
  <si>
    <t>ホスト</t>
  </si>
  <si>
    <t>経過 [s]</t>
  </si>
  <si>
    <t>状態</t>
  </si>
  <si>
    <t>fn01sv05</t>
  </si>
  <si>
    <t>正常終了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</si>
</sst>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000"/>
    <numFmt numFmtId="178" formatCode="0.0%"/>
    <numFmt numFmtId="179" formatCode="0.000000000000"/>
    <numFmt numFmtId="180" formatCode="0.000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7F6000"/>
      <name val="Carlito"/>
    </font>
    <font>
      <b/>
      <sz val="11"/>
      <color rgb="FF375623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9">
    <border>
      <left/>
      <right/>
      <top/>
      <bottom/>
      <diagonal/>
    </border>
    <border>
      <left style="thin">
        <color rgb="FFA6B7C8"/>
      </left>
      <right/>
      <top style="thin">
        <color rgb="FFA6B7C8"/>
      </top>
      <bottom style="thin">
        <color rgb="FFA6B7C8"/>
      </bottom>
      <diagonal/>
    </border>
    <border>
      <left/>
      <right/>
      <top style="thin">
        <color rgb="FFA6B7C8"/>
      </top>
      <bottom style="thin">
        <color rgb="FFA6B7C8"/>
      </bottom>
      <diagonal/>
    </border>
    <border>
      <left/>
      <right style="thin">
        <color rgb="FFA6B7C8"/>
      </right>
      <top style="thin">
        <color rgb="FFA6B7C8"/>
      </top>
      <bottom style="thin">
        <color rgb="FFA6B7C8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 style="medium">
        <color rgb="FFC9B458"/>
      </left>
      <right/>
      <top style="medium">
        <color rgb="FFC9B458"/>
      </top>
      <bottom/>
      <diagonal/>
    </border>
    <border>
      <left/>
      <right/>
      <top style="medium">
        <color rgb="FFC9B458"/>
      </top>
      <bottom/>
      <diagonal/>
    </border>
    <border>
      <left/>
      <right style="medium">
        <color rgb="FFC9B458"/>
      </right>
      <top style="medium">
        <color rgb="FFC9B458"/>
      </top>
      <bottom/>
      <diagonal/>
    </border>
    <border>
      <left style="medium">
        <color rgb="FFC9B458"/>
      </left>
      <right/>
      <top/>
      <bottom style="medium">
        <color rgb="FFC9B458"/>
      </bottom>
      <diagonal/>
    </border>
    <border>
      <left/>
      <right/>
      <top/>
      <bottom style="medium">
        <color rgb="FFC9B458"/>
      </bottom>
      <diagonal/>
    </border>
    <border>
      <left/>
      <right style="medium">
        <color rgb="FFC9B458"/>
      </right>
      <top/>
      <bottom style="medium">
        <color rgb="FFC9B458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2" fillId="3" borderId="1" xfId="1" applyFont="1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0" fontId="2" fillId="3" borderId="3" xfId="1" applyFont="1" applyFill="1" applyBorder="1" applyAlignment="1">
      <alignment horizont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0" fillId="0" borderId="10" xfId="1" applyFont="1" applyBorder="1"/>
    <xf numFmtId="0" fontId="0" fillId="0" borderId="11" xfId="1" applyFont="1" applyBorder="1"/>
    <xf numFmtId="0" fontId="0" fillId="0" borderId="12" xfId="1" applyFont="1" applyBorder="1"/>
    <xf numFmtId="176" fontId="0" fillId="0" borderId="8" xfId="1" applyNumberFormat="1" applyFont="1" applyBorder="1"/>
    <xf numFmtId="176" fontId="0" fillId="0" borderId="9" xfId="1" applyNumberFormat="1" applyFont="1" applyBorder="1"/>
    <xf numFmtId="176" fontId="0" fillId="0" borderId="11" xfId="1" applyNumberFormat="1" applyFont="1" applyBorder="1"/>
    <xf numFmtId="176" fontId="0" fillId="0" borderId="12" xfId="1" applyNumberFormat="1" applyFont="1" applyBorder="1"/>
    <xf numFmtId="0" fontId="0" fillId="0" borderId="9" xfId="1" applyFont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0" fillId="0" borderId="5" xfId="1" applyNumberFormat="1" applyFont="1" applyBorder="1"/>
    <xf numFmtId="0" fontId="0" fillId="5" borderId="5" xfId="1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5" borderId="8" xfId="1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5" borderId="11" xfId="1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0" fillId="0" borderId="6" xfId="1" applyNumberFormat="1" applyFont="1" applyBorder="1"/>
    <xf numFmtId="10" fontId="0" fillId="0" borderId="5" xfId="1" applyNumberFormat="1" applyFont="1" applyBorder="1"/>
    <xf numFmtId="10" fontId="0" fillId="0" borderId="8" xfId="1" applyNumberFormat="1" applyFont="1" applyBorder="1"/>
    <xf numFmtId="10" fontId="0" fillId="0" borderId="11" xfId="1" applyNumberFormat="1" applyFont="1" applyBorder="1"/>
    <xf numFmtId="177" fontId="0" fillId="0" borderId="5" xfId="1" applyNumberFormat="1" applyFont="1" applyBorder="1"/>
    <xf numFmtId="177" fontId="0" fillId="0" borderId="8" xfId="1" applyNumberFormat="1" applyFont="1" applyBorder="1"/>
    <xf numFmtId="177" fontId="0" fillId="0" borderId="11" xfId="1" applyNumberFormat="1" applyFont="1" applyBorder="1"/>
    <xf numFmtId="178" fontId="0" fillId="0" borderId="5" xfId="1" applyNumberFormat="1" applyFont="1" applyBorder="1"/>
    <xf numFmtId="178" fontId="0" fillId="0" borderId="8" xfId="1" applyNumberFormat="1" applyFont="1" applyBorder="1"/>
    <xf numFmtId="178" fontId="0" fillId="0" borderId="11" xfId="1" applyNumberFormat="1" applyFont="1" applyBorder="1"/>
    <xf numFmtId="179" fontId="0" fillId="0" borderId="5" xfId="1" applyNumberFormat="1" applyFont="1" applyBorder="1"/>
    <xf numFmtId="179" fontId="0" fillId="0" borderId="8" xfId="1" applyNumberFormat="1" applyFont="1" applyBorder="1"/>
    <xf numFmtId="179" fontId="0" fillId="0" borderId="11" xfId="1" applyNumberFormat="1" applyFont="1" applyBorder="1"/>
    <xf numFmtId="180" fontId="0" fillId="0" borderId="5" xfId="1" applyNumberFormat="1" applyFont="1" applyBorder="1"/>
    <xf numFmtId="180" fontId="0" fillId="0" borderId="8" xfId="1" applyNumberFormat="1" applyFont="1" applyBorder="1"/>
    <xf numFmtId="180" fontId="0" fillId="0" borderId="11" xfId="1" applyNumberFormat="1" applyFont="1" applyBorder="1"/>
    <xf numFmtId="0" fontId="0" fillId="5" borderId="6" xfId="1" applyFont="1" applyFill="1" applyBorder="1"/>
    <xf numFmtId="0" fontId="0" fillId="5" borderId="9" xfId="1" applyFont="1" applyFill="1" applyBorder="1"/>
    <xf numFmtId="0" fontId="0" fillId="5" borderId="12" xfId="1" applyFont="1" applyFill="1" applyBorder="1"/>
    <xf numFmtId="0" fontId="1" fillId="2" borderId="0" xfId="1" applyFont="1" applyFill="1"/>
    <xf numFmtId="0" fontId="3" fillId="4" borderId="13" xfId="1" applyFont="1" applyFill="1" applyBorder="1" applyAlignment="1">
      <alignment wrapText="1"/>
    </xf>
    <xf numFmtId="0" fontId="3" fillId="4" borderId="14" xfId="1" applyFont="1" applyFill="1" applyBorder="1" applyAlignment="1">
      <alignment wrapText="1"/>
    </xf>
    <xf numFmtId="0" fontId="3" fillId="4" borderId="15" xfId="1" applyFont="1" applyFill="1" applyBorder="1" applyAlignment="1">
      <alignment wrapText="1"/>
    </xf>
    <xf numFmtId="0" fontId="3" fillId="4" borderId="16" xfId="1" applyFont="1" applyFill="1" applyBorder="1" applyAlignment="1">
      <alignment wrapText="1"/>
    </xf>
    <xf numFmtId="0" fontId="3" fillId="4" borderId="17" xfId="1" applyFont="1" applyFill="1" applyBorder="1" applyAlignment="1">
      <alignment wrapText="1"/>
    </xf>
    <xf numFmtId="0" fontId="3" fillId="4" borderId="18" xfId="1" applyFont="1" applyFill="1" applyBorder="1" applyAlignment="1">
      <alignment wrapText="1"/>
    </xf>
    <xf numFmtId="0" fontId="4" fillId="5" borderId="0" xfId="1" applyFont="1" applyFill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10e63939415e4477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en-US" altLang="ja-JP"/>
              <a:t>10</a:t>
            </a:r>
            <a:r>
              <a:rPr lang="ja-JP" altLang="en-US"/>
              <a:t>回の</a:t>
            </a:r>
            <a:r>
              <a:rPr lang="en-US"/>
              <a:t>Main</a:t>
            </a:r>
            <a:r>
              <a:rPr lang="ja-JP" altLang="en-US"/>
              <a:t>実行時間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ACLE Main [s]</c:v>
          </c:tx>
          <c:marker>
            <c:symbol val="none"/>
          </c:marker>
          <c:cat>
            <c:numRef>
              <c:f>'01_概要'!$K$5:$K$14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'01_概要'!$L$5:$L$14</c:f>
              <c:numCache>
                <c:formatCode>General</c:formatCode>
                <c:ptCount val="10"/>
                <c:pt idx="0">
                  <c:v>23.07</c:v>
                </c:pt>
                <c:pt idx="1">
                  <c:v>23.06</c:v>
                </c:pt>
                <c:pt idx="2">
                  <c:v>23.21</c:v>
                </c:pt>
                <c:pt idx="3">
                  <c:v>23.12</c:v>
                </c:pt>
                <c:pt idx="4">
                  <c:v>23.1</c:v>
                </c:pt>
                <c:pt idx="5">
                  <c:v>23.02</c:v>
                </c:pt>
                <c:pt idx="6">
                  <c:v>23.15</c:v>
                </c:pt>
                <c:pt idx="7">
                  <c:v>23.16</c:v>
                </c:pt>
                <c:pt idx="8">
                  <c:v>23.05</c:v>
                </c:pt>
                <c:pt idx="9">
                  <c:v>23.05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D-465B-AE3E-D487275A5E09}"/>
            </c:ext>
          </c:extLst>
        </c:ser>
        <c:ser>
          <c:idx val="1"/>
          <c:order val="1"/>
          <c:tx>
            <c:v>General Main [s]</c:v>
          </c:tx>
          <c:marker>
            <c:symbol val="none"/>
          </c:marker>
          <c:cat>
            <c:numRef>
              <c:f>'01_概要'!$K$5:$K$14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'01_概要'!$M$5:$M$14</c:f>
              <c:numCache>
                <c:formatCode>General</c:formatCode>
                <c:ptCount val="10"/>
                <c:pt idx="0">
                  <c:v>58.07</c:v>
                </c:pt>
                <c:pt idx="1">
                  <c:v>58.28</c:v>
                </c:pt>
                <c:pt idx="2">
                  <c:v>58.19</c:v>
                </c:pt>
                <c:pt idx="3">
                  <c:v>58.2</c:v>
                </c:pt>
                <c:pt idx="4">
                  <c:v>58.06</c:v>
                </c:pt>
                <c:pt idx="5">
                  <c:v>58.22</c:v>
                </c:pt>
                <c:pt idx="6">
                  <c:v>58.23</c:v>
                </c:pt>
                <c:pt idx="7">
                  <c:v>58.25</c:v>
                </c:pt>
                <c:pt idx="8">
                  <c:v>58.25</c:v>
                </c:pt>
                <c:pt idx="9">
                  <c:v>58.33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D-465B-AE3E-D487275A5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en-US"/>
              <a:t>D†D</a:t>
            </a:r>
            <a:r>
              <a:rPr lang="ja-JP" altLang="en-US"/>
              <a:t>内部</a:t>
            </a:r>
            <a:r>
              <a:rPr lang="en-US" altLang="ja-JP"/>
              <a:t>14</a:t>
            </a:r>
            <a:r>
              <a:rPr lang="ja-JP" altLang="en-US"/>
              <a:t>レイヤーの平均時間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ACLE平均</c:v>
          </c:tx>
          <c:invertIfNegative val="1"/>
          <c:cat>
            <c:strRef>
              <c:f>'05_DdagDレイヤー'!$K$5:$K$18</c:f>
              <c:strCache>
                <c:ptCount val="14"/>
                <c:pt idx="0">
                  <c:v>D_eo (odd)</c:v>
                </c:pt>
                <c:pt idx="1">
                  <c:v>L^-1 (1)</c:v>
                </c:pt>
                <c:pt idx="2">
                  <c:v>U^-1 (1)</c:v>
                </c:pt>
                <c:pt idx="3">
                  <c:v>D_eo (even)</c:v>
                </c:pt>
                <c:pt idx="4">
                  <c:v>L^-1 (2)</c:v>
                </c:pt>
                <c:pt idx="5">
                  <c:v>U^-1 (2)</c:v>
                </c:pt>
                <c:pt idx="6">
                  <c:v>D combine</c:v>
                </c:pt>
                <c:pt idx="7">
                  <c:v>U†^-1 (1)</c:v>
                </c:pt>
                <c:pt idx="8">
                  <c:v>L†^-1 (1)</c:v>
                </c:pt>
                <c:pt idx="9">
                  <c:v>D†_eo (odd)</c:v>
                </c:pt>
                <c:pt idx="10">
                  <c:v>U†^-1 (2)</c:v>
                </c:pt>
                <c:pt idx="11">
                  <c:v>L†^-1 (2)</c:v>
                </c:pt>
                <c:pt idx="12">
                  <c:v>D†_eo (even)</c:v>
                </c:pt>
                <c:pt idx="13">
                  <c:v>D† combine</c:v>
                </c:pt>
              </c:strCache>
            </c:strRef>
          </c:cat>
          <c:val>
            <c:numRef>
              <c:f>'05_DdagDレイヤー'!$L$5:$L$18</c:f>
              <c:numCache>
                <c:formatCode>General</c:formatCode>
                <c:ptCount val="14"/>
                <c:pt idx="0">
                  <c:v>1.8528454703858999</c:v>
                </c:pt>
                <c:pt idx="1">
                  <c:v>6.9180963631424994E-2</c:v>
                </c:pt>
                <c:pt idx="2">
                  <c:v>6.1322378308709999E-2</c:v>
                </c:pt>
                <c:pt idx="3">
                  <c:v>1.7786402014103999</c:v>
                </c:pt>
                <c:pt idx="4">
                  <c:v>5.7544740256195992E-2</c:v>
                </c:pt>
                <c:pt idx="5">
                  <c:v>6.4303137321051002E-2</c:v>
                </c:pt>
                <c:pt idx="6">
                  <c:v>6.3952247456555991E-2</c:v>
                </c:pt>
                <c:pt idx="7">
                  <c:v>7.2610616246307005E-2</c:v>
                </c:pt>
                <c:pt idx="8">
                  <c:v>5.7597083434940001E-2</c:v>
                </c:pt>
                <c:pt idx="9">
                  <c:v>1.8316771924030999</c:v>
                </c:pt>
                <c:pt idx="10">
                  <c:v>5.8934261634035999E-2</c:v>
                </c:pt>
                <c:pt idx="11">
                  <c:v>6.1388139357347007E-2</c:v>
                </c:pt>
                <c:pt idx="12">
                  <c:v>1.8158565373158002</c:v>
                </c:pt>
                <c:pt idx="13">
                  <c:v>7.0354630616696001E-2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9-42C4-9997-9DE4E498CA95}"/>
            </c:ext>
          </c:extLst>
        </c:ser>
        <c:ser>
          <c:idx val="1"/>
          <c:order val="1"/>
          <c:tx>
            <c:v>General平均</c:v>
          </c:tx>
          <c:invertIfNegative val="1"/>
          <c:cat>
            <c:strRef>
              <c:f>'05_DdagDレイヤー'!$K$5:$K$18</c:f>
              <c:strCache>
                <c:ptCount val="14"/>
                <c:pt idx="0">
                  <c:v>D_eo (odd)</c:v>
                </c:pt>
                <c:pt idx="1">
                  <c:v>L^-1 (1)</c:v>
                </c:pt>
                <c:pt idx="2">
                  <c:v>U^-1 (1)</c:v>
                </c:pt>
                <c:pt idx="3">
                  <c:v>D_eo (even)</c:v>
                </c:pt>
                <c:pt idx="4">
                  <c:v>L^-1 (2)</c:v>
                </c:pt>
                <c:pt idx="5">
                  <c:v>U^-1 (2)</c:v>
                </c:pt>
                <c:pt idx="6">
                  <c:v>D combine</c:v>
                </c:pt>
                <c:pt idx="7">
                  <c:v>U†^-1 (1)</c:v>
                </c:pt>
                <c:pt idx="8">
                  <c:v>L†^-1 (1)</c:v>
                </c:pt>
                <c:pt idx="9">
                  <c:v>D†_eo (odd)</c:v>
                </c:pt>
                <c:pt idx="10">
                  <c:v>U†^-1 (2)</c:v>
                </c:pt>
                <c:pt idx="11">
                  <c:v>L†^-1 (2)</c:v>
                </c:pt>
                <c:pt idx="12">
                  <c:v>D†_eo (even)</c:v>
                </c:pt>
                <c:pt idx="13">
                  <c:v>D† combine</c:v>
                </c:pt>
              </c:strCache>
            </c:strRef>
          </c:cat>
          <c:val>
            <c:numRef>
              <c:f>'05_DdagDレイヤー'!$M$5:$M$18</c:f>
              <c:numCache>
                <c:formatCode>General</c:formatCode>
                <c:ptCount val="14"/>
                <c:pt idx="0">
                  <c:v>9.6161368210059983</c:v>
                </c:pt>
                <c:pt idx="1">
                  <c:v>0.24886957157712999</c:v>
                </c:pt>
                <c:pt idx="2">
                  <c:v>0.20722776529724998</c:v>
                </c:pt>
                <c:pt idx="3">
                  <c:v>9.5352894559602994</c:v>
                </c:pt>
                <c:pt idx="4">
                  <c:v>0.19849425364946</c:v>
                </c:pt>
                <c:pt idx="5">
                  <c:v>0.20663814608605002</c:v>
                </c:pt>
                <c:pt idx="6">
                  <c:v>0.23181464607345997</c:v>
                </c:pt>
                <c:pt idx="7">
                  <c:v>0.27655419918552998</c:v>
                </c:pt>
                <c:pt idx="8">
                  <c:v>0.17468725098345</c:v>
                </c:pt>
                <c:pt idx="9">
                  <c:v>9.5942052045405983</c:v>
                </c:pt>
                <c:pt idx="10">
                  <c:v>0.23432921004022003</c:v>
                </c:pt>
                <c:pt idx="11">
                  <c:v>0.17563492233021002</c:v>
                </c:pt>
                <c:pt idx="12">
                  <c:v>9.5665403247308003</c:v>
                </c:pt>
                <c:pt idx="13">
                  <c:v>0.23032413478067001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E9-42C4-9997-9DE4E498C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workbookViewId="0">
      <selection activeCell="B7" sqref="B7"/>
    </sheetView>
  </sheetViews>
  <sheetFormatPr defaultRowHeight="14"/>
  <cols>
    <col min="1" max="1" width="27" customWidth="1"/>
    <col min="2" max="2" width="10.9140625" customWidth="1"/>
    <col min="3" max="3" width="12" customWidth="1"/>
    <col min="4" max="4" width="11.9140625" customWidth="1"/>
  </cols>
  <sheetData>
    <row r="1" spans="1:13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13">
      <c r="A2" s="41"/>
      <c r="B2" s="41"/>
      <c r="C2" s="41"/>
      <c r="D2" s="41"/>
      <c r="E2" s="41"/>
      <c r="F2" s="41"/>
      <c r="G2" s="41"/>
      <c r="H2" s="41"/>
      <c r="I2" s="41"/>
    </row>
    <row r="4" spans="1:13" ht="28">
      <c r="A4" s="1" t="s">
        <v>1</v>
      </c>
      <c r="B4" s="2" t="s">
        <v>2</v>
      </c>
      <c r="C4" s="2" t="s">
        <v>3</v>
      </c>
      <c r="D4" s="3" t="s">
        <v>4</v>
      </c>
      <c r="K4" t="s">
        <v>5</v>
      </c>
      <c r="L4" t="s">
        <v>6</v>
      </c>
      <c r="M4" t="s">
        <v>7</v>
      </c>
    </row>
    <row r="5" spans="1:13">
      <c r="A5" s="4" t="s">
        <v>8</v>
      </c>
      <c r="B5" s="5">
        <v>10</v>
      </c>
      <c r="C5" s="5">
        <v>10</v>
      </c>
      <c r="D5" s="6"/>
      <c r="K5">
        <v>1</v>
      </c>
      <c r="L5">
        <v>23.07</v>
      </c>
      <c r="M5">
        <v>58.07</v>
      </c>
    </row>
    <row r="6" spans="1:13">
      <c r="A6" s="7" t="s">
        <v>9</v>
      </c>
      <c r="B6" s="13">
        <f>'04_統計比較'!B5</f>
        <v>7.9311524702200007</v>
      </c>
      <c r="C6" s="13">
        <f>'04_統計比較'!E5</f>
        <v>40.513957862956993</v>
      </c>
      <c r="D6" s="14">
        <f>C6/B6</f>
        <v>5.108205650449837</v>
      </c>
      <c r="K6">
        <v>2</v>
      </c>
      <c r="L6">
        <v>23.06</v>
      </c>
      <c r="M6">
        <v>58.28</v>
      </c>
    </row>
    <row r="7" spans="1:13">
      <c r="A7" s="7" t="s">
        <v>10</v>
      </c>
      <c r="B7" s="13">
        <f>'04_統計比較'!B8</f>
        <v>23.099000000000004</v>
      </c>
      <c r="C7" s="13">
        <f>'04_統計比較'!E8</f>
        <v>58.208000000000006</v>
      </c>
      <c r="D7" s="14">
        <f>C7/B7</f>
        <v>2.5199359279622491</v>
      </c>
      <c r="K7">
        <v>3</v>
      </c>
      <c r="L7">
        <v>23.21</v>
      </c>
      <c r="M7">
        <v>58.19</v>
      </c>
    </row>
    <row r="8" spans="1:13">
      <c r="A8" s="10" t="s">
        <v>11</v>
      </c>
      <c r="B8" s="15">
        <f>'04_統計比較'!B11</f>
        <v>0.64802820000000017</v>
      </c>
      <c r="C8" s="15">
        <f>'04_統計比較'!E11</f>
        <v>1.6692732999999997</v>
      </c>
      <c r="D8" s="16">
        <f>C8/B8</f>
        <v>2.575926942685518</v>
      </c>
      <c r="K8">
        <v>4</v>
      </c>
      <c r="L8">
        <v>23.12</v>
      </c>
      <c r="M8">
        <v>58.2</v>
      </c>
    </row>
    <row r="9" spans="1:13">
      <c r="K9">
        <v>5</v>
      </c>
      <c r="L9">
        <v>23.1</v>
      </c>
      <c r="M9">
        <v>58.06</v>
      </c>
    </row>
    <row r="10" spans="1:13">
      <c r="A10" s="42" t="s">
        <v>12</v>
      </c>
      <c r="B10" s="43"/>
      <c r="C10" s="43"/>
      <c r="D10" s="43"/>
      <c r="E10" s="43"/>
      <c r="F10" s="43"/>
      <c r="G10" s="43"/>
      <c r="H10" s="43"/>
      <c r="I10" s="44"/>
      <c r="K10">
        <v>6</v>
      </c>
      <c r="L10">
        <v>23.02</v>
      </c>
      <c r="M10">
        <v>58.22</v>
      </c>
    </row>
    <row r="11" spans="1:13">
      <c r="A11" s="45"/>
      <c r="B11" s="46"/>
      <c r="C11" s="46"/>
      <c r="D11" s="46"/>
      <c r="E11" s="46"/>
      <c r="F11" s="46"/>
      <c r="G11" s="46"/>
      <c r="H11" s="46"/>
      <c r="I11" s="47"/>
      <c r="K11">
        <v>7</v>
      </c>
      <c r="L11">
        <v>23.15</v>
      </c>
      <c r="M11">
        <v>58.23</v>
      </c>
    </row>
    <row r="12" spans="1:13">
      <c r="K12">
        <v>8</v>
      </c>
      <c r="L12">
        <v>23.16</v>
      </c>
      <c r="M12">
        <v>58.25</v>
      </c>
    </row>
    <row r="13" spans="1:13">
      <c r="K13">
        <v>9</v>
      </c>
      <c r="L13">
        <v>23.05</v>
      </c>
      <c r="M13">
        <v>58.25</v>
      </c>
    </row>
    <row r="14" spans="1:13">
      <c r="K14">
        <v>10</v>
      </c>
      <c r="L14">
        <v>23.05</v>
      </c>
      <c r="M14">
        <v>58.33</v>
      </c>
    </row>
  </sheetData>
  <mergeCells count="2">
    <mergeCell ref="A1:I2"/>
    <mergeCell ref="A10:I11"/>
  </mergeCells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>
      <selection sqref="A1:F2"/>
    </sheetView>
  </sheetViews>
  <sheetFormatPr defaultRowHeight="14"/>
  <cols>
    <col min="1" max="1" width="19.1640625" customWidth="1"/>
    <col min="2" max="2" width="18.75" customWidth="1"/>
    <col min="3" max="3" width="34" customWidth="1"/>
  </cols>
  <sheetData>
    <row r="1" spans="1:6">
      <c r="A1" s="41" t="s">
        <v>13</v>
      </c>
      <c r="B1" s="41"/>
      <c r="C1" s="41"/>
      <c r="D1" s="41"/>
      <c r="E1" s="41"/>
      <c r="F1" s="41"/>
    </row>
    <row r="2" spans="1:6">
      <c r="A2" s="41"/>
      <c r="B2" s="41"/>
      <c r="C2" s="41"/>
      <c r="D2" s="41"/>
      <c r="E2" s="41"/>
      <c r="F2" s="41"/>
    </row>
    <row r="4" spans="1:6">
      <c r="A4" s="1" t="s">
        <v>14</v>
      </c>
      <c r="B4" s="2" t="s">
        <v>15</v>
      </c>
      <c r="C4" s="3" t="s">
        <v>16</v>
      </c>
    </row>
    <row r="5" spans="1:6">
      <c r="A5" s="4" t="s">
        <v>17</v>
      </c>
      <c r="B5" s="5" t="s">
        <v>18</v>
      </c>
      <c r="C5" s="6" t="s">
        <v>19</v>
      </c>
    </row>
    <row r="6" spans="1:6">
      <c r="A6" s="7" t="s">
        <v>17</v>
      </c>
      <c r="B6" s="8" t="s">
        <v>20</v>
      </c>
      <c r="C6" s="9" t="s">
        <v>21</v>
      </c>
    </row>
    <row r="7" spans="1:6">
      <c r="A7" s="7" t="s">
        <v>22</v>
      </c>
      <c r="B7" s="8" t="s">
        <v>23</v>
      </c>
      <c r="C7" s="9">
        <v>1</v>
      </c>
    </row>
    <row r="8" spans="1:6">
      <c r="A8" s="7" t="s">
        <v>22</v>
      </c>
      <c r="B8" s="8" t="s">
        <v>24</v>
      </c>
      <c r="C8" s="9">
        <v>48</v>
      </c>
    </row>
    <row r="9" spans="1:6">
      <c r="A9" s="7" t="s">
        <v>25</v>
      </c>
      <c r="B9" s="8" t="s">
        <v>26</v>
      </c>
      <c r="C9" s="9">
        <v>4</v>
      </c>
    </row>
    <row r="10" spans="1:6">
      <c r="A10" s="7" t="s">
        <v>25</v>
      </c>
      <c r="B10" s="8" t="s">
        <v>27</v>
      </c>
      <c r="C10" s="9">
        <v>12</v>
      </c>
    </row>
    <row r="11" spans="1:6">
      <c r="A11" s="7" t="s">
        <v>28</v>
      </c>
      <c r="B11" s="8" t="s">
        <v>29</v>
      </c>
      <c r="C11" s="9" t="s">
        <v>30</v>
      </c>
    </row>
    <row r="12" spans="1:6">
      <c r="A12" s="7" t="s">
        <v>28</v>
      </c>
      <c r="B12" s="8" t="s">
        <v>31</v>
      </c>
      <c r="C12" s="9" t="s">
        <v>32</v>
      </c>
    </row>
    <row r="13" spans="1:6">
      <c r="A13" s="7" t="s">
        <v>33</v>
      </c>
      <c r="B13" s="8" t="s">
        <v>34</v>
      </c>
      <c r="C13" s="9" t="s">
        <v>35</v>
      </c>
    </row>
    <row r="14" spans="1:6">
      <c r="A14" s="7" t="s">
        <v>36</v>
      </c>
      <c r="B14" s="8" t="s">
        <v>37</v>
      </c>
      <c r="C14" s="9">
        <v>1</v>
      </c>
    </row>
    <row r="15" spans="1:6">
      <c r="A15" s="7" t="s">
        <v>36</v>
      </c>
      <c r="B15" s="8" t="s">
        <v>38</v>
      </c>
      <c r="C15" s="17" t="b">
        <v>0</v>
      </c>
    </row>
    <row r="16" spans="1:6">
      <c r="A16" s="7" t="s">
        <v>39</v>
      </c>
      <c r="B16" s="8" t="s">
        <v>40</v>
      </c>
      <c r="C16" s="9" t="s">
        <v>41</v>
      </c>
    </row>
    <row r="17" spans="1:3">
      <c r="A17" s="7" t="s">
        <v>5</v>
      </c>
      <c r="B17" s="8" t="s">
        <v>2</v>
      </c>
      <c r="C17" s="9">
        <v>10</v>
      </c>
    </row>
    <row r="18" spans="1:3">
      <c r="A18" s="7" t="s">
        <v>5</v>
      </c>
      <c r="B18" s="8" t="s">
        <v>3</v>
      </c>
      <c r="C18" s="9">
        <v>10</v>
      </c>
    </row>
    <row r="19" spans="1:3">
      <c r="A19" s="10" t="s">
        <v>42</v>
      </c>
      <c r="B19" s="11" t="s">
        <v>43</v>
      </c>
      <c r="C19" s="12" t="s">
        <v>44</v>
      </c>
    </row>
  </sheetData>
  <mergeCells count="1">
    <mergeCell ref="A1:F2"/>
  </mergeCells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showGridLines="0" zoomScale="85" zoomScaleNormal="85" workbookViewId="0">
      <selection activeCell="H3" sqref="H3"/>
    </sheetView>
  </sheetViews>
  <sheetFormatPr defaultRowHeight="14"/>
  <cols>
    <col min="1" max="1" width="38.4140625" customWidth="1"/>
    <col min="2" max="2" width="4.25" customWidth="1"/>
    <col min="3" max="3" width="25" customWidth="1"/>
    <col min="4" max="4" width="8" customWidth="1"/>
    <col min="5" max="5" width="12.83203125" customWidth="1"/>
    <col min="6" max="6" width="10.5" customWidth="1"/>
    <col min="7" max="7" width="8.5" customWidth="1"/>
    <col min="8" max="8" width="10" customWidth="1"/>
    <col min="9" max="9" width="10.6640625" customWidth="1"/>
    <col min="10" max="10" width="8.75" customWidth="1"/>
    <col min="11" max="11" width="3.4140625" customWidth="1"/>
    <col min="12" max="12" width="3.6640625" customWidth="1"/>
    <col min="13" max="13" width="16.83203125" customWidth="1"/>
    <col min="14" max="14" width="8.25" customWidth="1"/>
    <col min="15" max="15" width="9.75" customWidth="1"/>
  </cols>
  <sheetData>
    <row r="1" spans="1:15">
      <c r="A1" s="41" t="s">
        <v>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8">
      <c r="A4" s="1" t="s">
        <v>46</v>
      </c>
      <c r="B4" s="2" t="s">
        <v>5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3" t="s">
        <v>59</v>
      </c>
    </row>
    <row r="5" spans="1:15">
      <c r="A5" s="4" t="s">
        <v>2</v>
      </c>
      <c r="B5" s="5">
        <v>1</v>
      </c>
      <c r="C5" s="5" t="s">
        <v>60</v>
      </c>
      <c r="D5" s="5">
        <v>50688055</v>
      </c>
      <c r="E5" s="18">
        <v>7.9412507762820015</v>
      </c>
      <c r="F5" s="18">
        <v>22.63</v>
      </c>
      <c r="G5" s="18">
        <v>22.75</v>
      </c>
      <c r="H5" s="18">
        <v>23.07</v>
      </c>
      <c r="I5" s="18">
        <v>29</v>
      </c>
      <c r="J5" s="5">
        <v>7779</v>
      </c>
      <c r="K5" s="5">
        <v>0</v>
      </c>
      <c r="L5" s="5">
        <v>0</v>
      </c>
      <c r="M5" s="5" t="s">
        <v>61</v>
      </c>
      <c r="N5" s="19" t="b">
        <v>1</v>
      </c>
      <c r="O5" s="6" t="s">
        <v>62</v>
      </c>
    </row>
    <row r="6" spans="1:15">
      <c r="A6" s="7" t="s">
        <v>2</v>
      </c>
      <c r="B6" s="8">
        <v>2</v>
      </c>
      <c r="C6" s="8" t="s">
        <v>63</v>
      </c>
      <c r="D6" s="8">
        <v>50688376</v>
      </c>
      <c r="E6" s="13">
        <v>7.9122740099489999</v>
      </c>
      <c r="F6" s="13">
        <v>22.6</v>
      </c>
      <c r="G6" s="13">
        <v>22.73</v>
      </c>
      <c r="H6" s="13">
        <v>23.06</v>
      </c>
      <c r="I6" s="13">
        <v>29</v>
      </c>
      <c r="J6" s="8">
        <v>7779</v>
      </c>
      <c r="K6" s="8">
        <v>0</v>
      </c>
      <c r="L6" s="8">
        <v>0</v>
      </c>
      <c r="M6" s="8" t="s">
        <v>61</v>
      </c>
      <c r="N6" s="20" t="b">
        <v>1</v>
      </c>
      <c r="O6" s="9" t="s">
        <v>64</v>
      </c>
    </row>
    <row r="7" spans="1:15">
      <c r="A7" s="7" t="s">
        <v>2</v>
      </c>
      <c r="B7" s="8">
        <v>3</v>
      </c>
      <c r="C7" s="8" t="s">
        <v>63</v>
      </c>
      <c r="D7" s="8">
        <v>50688378</v>
      </c>
      <c r="E7" s="13">
        <v>7.9389743793120005</v>
      </c>
      <c r="F7" s="13">
        <v>22.62</v>
      </c>
      <c r="G7" s="13">
        <v>22.84</v>
      </c>
      <c r="H7" s="13">
        <v>23.21</v>
      </c>
      <c r="I7" s="13">
        <v>29</v>
      </c>
      <c r="J7" s="8">
        <v>7779</v>
      </c>
      <c r="K7" s="8">
        <v>0</v>
      </c>
      <c r="L7" s="8">
        <v>0</v>
      </c>
      <c r="M7" s="8" t="s">
        <v>61</v>
      </c>
      <c r="N7" s="20" t="b">
        <v>1</v>
      </c>
      <c r="O7" s="9" t="s">
        <v>64</v>
      </c>
    </row>
    <row r="8" spans="1:15">
      <c r="A8" s="7" t="s">
        <v>2</v>
      </c>
      <c r="B8" s="8">
        <v>4</v>
      </c>
      <c r="C8" s="8" t="s">
        <v>63</v>
      </c>
      <c r="D8" s="8">
        <v>50688380</v>
      </c>
      <c r="E8" s="13">
        <v>7.9138812866459993</v>
      </c>
      <c r="F8" s="13">
        <v>22.59</v>
      </c>
      <c r="G8" s="13">
        <v>22.71</v>
      </c>
      <c r="H8" s="13">
        <v>23.12</v>
      </c>
      <c r="I8" s="13">
        <v>29</v>
      </c>
      <c r="J8" s="8">
        <v>7779</v>
      </c>
      <c r="K8" s="8">
        <v>0</v>
      </c>
      <c r="L8" s="8">
        <v>0</v>
      </c>
      <c r="M8" s="8" t="s">
        <v>61</v>
      </c>
      <c r="N8" s="20" t="b">
        <v>1</v>
      </c>
      <c r="O8" s="9" t="s">
        <v>64</v>
      </c>
    </row>
    <row r="9" spans="1:15">
      <c r="A9" s="7" t="s">
        <v>2</v>
      </c>
      <c r="B9" s="8">
        <v>5</v>
      </c>
      <c r="C9" s="8" t="s">
        <v>63</v>
      </c>
      <c r="D9" s="8">
        <v>50688382</v>
      </c>
      <c r="E9" s="13">
        <v>7.9401649415460005</v>
      </c>
      <c r="F9" s="13">
        <v>22.63</v>
      </c>
      <c r="G9" s="13">
        <v>22.74</v>
      </c>
      <c r="H9" s="13">
        <v>23.1</v>
      </c>
      <c r="I9" s="13">
        <v>29</v>
      </c>
      <c r="J9" s="8">
        <v>7779</v>
      </c>
      <c r="K9" s="8">
        <v>0</v>
      </c>
      <c r="L9" s="8">
        <v>0</v>
      </c>
      <c r="M9" s="8" t="s">
        <v>61</v>
      </c>
      <c r="N9" s="20" t="b">
        <v>1</v>
      </c>
      <c r="O9" s="9" t="s">
        <v>64</v>
      </c>
    </row>
    <row r="10" spans="1:15">
      <c r="A10" s="7" t="s">
        <v>2</v>
      </c>
      <c r="B10" s="8">
        <v>6</v>
      </c>
      <c r="C10" s="8" t="s">
        <v>63</v>
      </c>
      <c r="D10" s="8">
        <v>50688385</v>
      </c>
      <c r="E10" s="13">
        <v>7.9254732091579987</v>
      </c>
      <c r="F10" s="13">
        <v>22.61</v>
      </c>
      <c r="G10" s="13">
        <v>22.72</v>
      </c>
      <c r="H10" s="13">
        <v>23.02</v>
      </c>
      <c r="I10" s="13">
        <v>29</v>
      </c>
      <c r="J10" s="8">
        <v>7779</v>
      </c>
      <c r="K10" s="8">
        <v>0</v>
      </c>
      <c r="L10" s="8">
        <v>0</v>
      </c>
      <c r="M10" s="8" t="s">
        <v>61</v>
      </c>
      <c r="N10" s="20" t="b">
        <v>1</v>
      </c>
      <c r="O10" s="9" t="s">
        <v>64</v>
      </c>
    </row>
    <row r="11" spans="1:15">
      <c r="A11" s="7" t="s">
        <v>2</v>
      </c>
      <c r="B11" s="8">
        <v>7</v>
      </c>
      <c r="C11" s="8" t="s">
        <v>63</v>
      </c>
      <c r="D11" s="8">
        <v>50688386</v>
      </c>
      <c r="E11" s="13">
        <v>7.9349921189760009</v>
      </c>
      <c r="F11" s="13">
        <v>22.63</v>
      </c>
      <c r="G11" s="13">
        <v>22.84</v>
      </c>
      <c r="H11" s="13">
        <v>23.15</v>
      </c>
      <c r="I11" s="13">
        <v>29</v>
      </c>
      <c r="J11" s="8">
        <v>7779</v>
      </c>
      <c r="K11" s="8">
        <v>0</v>
      </c>
      <c r="L11" s="8">
        <v>0</v>
      </c>
      <c r="M11" s="8" t="s">
        <v>61</v>
      </c>
      <c r="N11" s="20" t="b">
        <v>1</v>
      </c>
      <c r="O11" s="9" t="s">
        <v>64</v>
      </c>
    </row>
    <row r="12" spans="1:15">
      <c r="A12" s="7" t="s">
        <v>2</v>
      </c>
      <c r="B12" s="8">
        <v>8</v>
      </c>
      <c r="C12" s="8" t="s">
        <v>63</v>
      </c>
      <c r="D12" s="8">
        <v>50688387</v>
      </c>
      <c r="E12" s="13">
        <v>7.9338725206399996</v>
      </c>
      <c r="F12" s="13">
        <v>22.64</v>
      </c>
      <c r="G12" s="13">
        <v>22.83</v>
      </c>
      <c r="H12" s="13">
        <v>23.16</v>
      </c>
      <c r="I12" s="13">
        <v>30</v>
      </c>
      <c r="J12" s="8">
        <v>7779</v>
      </c>
      <c r="K12" s="8">
        <v>0</v>
      </c>
      <c r="L12" s="8">
        <v>0</v>
      </c>
      <c r="M12" s="8" t="s">
        <v>61</v>
      </c>
      <c r="N12" s="20" t="b">
        <v>1</v>
      </c>
      <c r="O12" s="9" t="s">
        <v>64</v>
      </c>
    </row>
    <row r="13" spans="1:15">
      <c r="A13" s="7" t="s">
        <v>2</v>
      </c>
      <c r="B13" s="8">
        <v>9</v>
      </c>
      <c r="C13" s="8" t="s">
        <v>63</v>
      </c>
      <c r="D13" s="8">
        <v>50688388</v>
      </c>
      <c r="E13" s="13">
        <v>7.9335891824910014</v>
      </c>
      <c r="F13" s="13">
        <v>22.63</v>
      </c>
      <c r="G13" s="13">
        <v>22.74</v>
      </c>
      <c r="H13" s="13">
        <v>23.05</v>
      </c>
      <c r="I13" s="13">
        <v>29</v>
      </c>
      <c r="J13" s="8">
        <v>7779</v>
      </c>
      <c r="K13" s="8">
        <v>0</v>
      </c>
      <c r="L13" s="8">
        <v>0</v>
      </c>
      <c r="M13" s="8" t="s">
        <v>61</v>
      </c>
      <c r="N13" s="20" t="b">
        <v>1</v>
      </c>
      <c r="O13" s="9" t="s">
        <v>64</v>
      </c>
    </row>
    <row r="14" spans="1:15">
      <c r="A14" s="7" t="s">
        <v>2</v>
      </c>
      <c r="B14" s="8">
        <v>10</v>
      </c>
      <c r="C14" s="8" t="s">
        <v>63</v>
      </c>
      <c r="D14" s="8">
        <v>50688389</v>
      </c>
      <c r="E14" s="13">
        <v>7.9370522772000012</v>
      </c>
      <c r="F14" s="13">
        <v>22.62</v>
      </c>
      <c r="G14" s="13">
        <v>22.73</v>
      </c>
      <c r="H14" s="13">
        <v>23.05</v>
      </c>
      <c r="I14" s="13">
        <v>29</v>
      </c>
      <c r="J14" s="8">
        <v>7779</v>
      </c>
      <c r="K14" s="8">
        <v>0</v>
      </c>
      <c r="L14" s="8">
        <v>0</v>
      </c>
      <c r="M14" s="8" t="s">
        <v>61</v>
      </c>
      <c r="N14" s="20" t="b">
        <v>1</v>
      </c>
      <c r="O14" s="9" t="s">
        <v>64</v>
      </c>
    </row>
    <row r="15" spans="1:15">
      <c r="A15" s="7" t="s">
        <v>65</v>
      </c>
      <c r="B15" s="8">
        <v>1</v>
      </c>
      <c r="C15" s="8" t="s">
        <v>60</v>
      </c>
      <c r="D15" s="8">
        <v>50688058</v>
      </c>
      <c r="E15" s="13">
        <v>40.492496229339999</v>
      </c>
      <c r="F15" s="13">
        <v>57.67</v>
      </c>
      <c r="G15" s="13">
        <v>57.79</v>
      </c>
      <c r="H15" s="13">
        <v>58.07</v>
      </c>
      <c r="I15" s="13">
        <v>64</v>
      </c>
      <c r="J15" s="8">
        <v>7779</v>
      </c>
      <c r="K15" s="8">
        <v>0</v>
      </c>
      <c r="L15" s="8">
        <v>0</v>
      </c>
      <c r="M15" s="8" t="s">
        <v>61</v>
      </c>
      <c r="N15" s="20" t="b">
        <v>1</v>
      </c>
      <c r="O15" s="9" t="s">
        <v>62</v>
      </c>
    </row>
    <row r="16" spans="1:15">
      <c r="A16" s="7" t="s">
        <v>65</v>
      </c>
      <c r="B16" s="8">
        <v>2</v>
      </c>
      <c r="C16" s="8" t="s">
        <v>63</v>
      </c>
      <c r="D16" s="8">
        <v>50688390</v>
      </c>
      <c r="E16" s="13">
        <v>40.536917155380003</v>
      </c>
      <c r="F16" s="13">
        <v>57.79</v>
      </c>
      <c r="G16" s="13">
        <v>58</v>
      </c>
      <c r="H16" s="13">
        <v>58.28</v>
      </c>
      <c r="I16" s="13">
        <v>64</v>
      </c>
      <c r="J16" s="8">
        <v>7779</v>
      </c>
      <c r="K16" s="8">
        <v>0</v>
      </c>
      <c r="L16" s="8">
        <v>0</v>
      </c>
      <c r="M16" s="8" t="s">
        <v>61</v>
      </c>
      <c r="N16" s="20" t="b">
        <v>1</v>
      </c>
      <c r="O16" s="9" t="s">
        <v>64</v>
      </c>
    </row>
    <row r="17" spans="1:15">
      <c r="A17" s="7" t="s">
        <v>65</v>
      </c>
      <c r="B17" s="8">
        <v>3</v>
      </c>
      <c r="C17" s="8" t="s">
        <v>63</v>
      </c>
      <c r="D17" s="8">
        <v>50688391</v>
      </c>
      <c r="E17" s="13">
        <v>40.51374701169</v>
      </c>
      <c r="F17" s="13">
        <v>57.73</v>
      </c>
      <c r="G17" s="13">
        <v>57.86</v>
      </c>
      <c r="H17" s="13">
        <v>58.19</v>
      </c>
      <c r="I17" s="13">
        <v>64</v>
      </c>
      <c r="J17" s="8">
        <v>7779</v>
      </c>
      <c r="K17" s="8">
        <v>0</v>
      </c>
      <c r="L17" s="8">
        <v>0</v>
      </c>
      <c r="M17" s="8" t="s">
        <v>61</v>
      </c>
      <c r="N17" s="20" t="b">
        <v>1</v>
      </c>
      <c r="O17" s="9" t="s">
        <v>64</v>
      </c>
    </row>
    <row r="18" spans="1:15">
      <c r="A18" s="7" t="s">
        <v>65</v>
      </c>
      <c r="B18" s="8">
        <v>4</v>
      </c>
      <c r="C18" s="8" t="s">
        <v>63</v>
      </c>
      <c r="D18" s="8">
        <v>50688392</v>
      </c>
      <c r="E18" s="13">
        <v>40.527855236770002</v>
      </c>
      <c r="F18" s="13">
        <v>57.73</v>
      </c>
      <c r="G18" s="13">
        <v>57.86</v>
      </c>
      <c r="H18" s="13">
        <v>58.2</v>
      </c>
      <c r="I18" s="13">
        <v>64</v>
      </c>
      <c r="J18" s="8">
        <v>7779</v>
      </c>
      <c r="K18" s="8">
        <v>0</v>
      </c>
      <c r="L18" s="8">
        <v>0</v>
      </c>
      <c r="M18" s="8" t="s">
        <v>61</v>
      </c>
      <c r="N18" s="20" t="b">
        <v>1</v>
      </c>
      <c r="O18" s="9" t="s">
        <v>64</v>
      </c>
    </row>
    <row r="19" spans="1:15">
      <c r="A19" s="7" t="s">
        <v>65</v>
      </c>
      <c r="B19" s="8">
        <v>5</v>
      </c>
      <c r="C19" s="8" t="s">
        <v>63</v>
      </c>
      <c r="D19" s="8">
        <v>50688393</v>
      </c>
      <c r="E19" s="13">
        <v>40.501432881900001</v>
      </c>
      <c r="F19" s="13">
        <v>57.68</v>
      </c>
      <c r="G19" s="13">
        <v>57.79</v>
      </c>
      <c r="H19" s="13">
        <v>58.06</v>
      </c>
      <c r="I19" s="13">
        <v>64</v>
      </c>
      <c r="J19" s="8">
        <v>7779</v>
      </c>
      <c r="K19" s="8">
        <v>0</v>
      </c>
      <c r="L19" s="8">
        <v>0</v>
      </c>
      <c r="M19" s="8" t="s">
        <v>61</v>
      </c>
      <c r="N19" s="20" t="b">
        <v>1</v>
      </c>
      <c r="O19" s="9" t="s">
        <v>64</v>
      </c>
    </row>
    <row r="20" spans="1:15">
      <c r="A20" s="7" t="s">
        <v>65</v>
      </c>
      <c r="B20" s="8">
        <v>6</v>
      </c>
      <c r="C20" s="8" t="s">
        <v>63</v>
      </c>
      <c r="D20" s="8">
        <v>50688394</v>
      </c>
      <c r="E20" s="13">
        <v>40.527014452729993</v>
      </c>
      <c r="F20" s="13">
        <v>57.74</v>
      </c>
      <c r="G20" s="13">
        <v>57.85</v>
      </c>
      <c r="H20" s="13">
        <v>58.22</v>
      </c>
      <c r="I20" s="13">
        <v>64</v>
      </c>
      <c r="J20" s="8">
        <v>7779</v>
      </c>
      <c r="K20" s="8">
        <v>0</v>
      </c>
      <c r="L20" s="8">
        <v>0</v>
      </c>
      <c r="M20" s="8" t="s">
        <v>61</v>
      </c>
      <c r="N20" s="20" t="b">
        <v>1</v>
      </c>
      <c r="O20" s="9" t="s">
        <v>64</v>
      </c>
    </row>
    <row r="21" spans="1:15">
      <c r="A21" s="7" t="s">
        <v>65</v>
      </c>
      <c r="B21" s="8">
        <v>7</v>
      </c>
      <c r="C21" s="8" t="s">
        <v>63</v>
      </c>
      <c r="D21" s="8">
        <v>50688395</v>
      </c>
      <c r="E21" s="13">
        <v>40.534298177350003</v>
      </c>
      <c r="F21" s="13">
        <v>57.68</v>
      </c>
      <c r="G21" s="13">
        <v>57.85</v>
      </c>
      <c r="H21" s="13">
        <v>58.23</v>
      </c>
      <c r="I21" s="13">
        <v>64</v>
      </c>
      <c r="J21" s="8">
        <v>7779</v>
      </c>
      <c r="K21" s="8">
        <v>0</v>
      </c>
      <c r="L21" s="8">
        <v>0</v>
      </c>
      <c r="M21" s="8" t="s">
        <v>61</v>
      </c>
      <c r="N21" s="20" t="b">
        <v>1</v>
      </c>
      <c r="O21" s="9" t="s">
        <v>66</v>
      </c>
    </row>
    <row r="22" spans="1:15">
      <c r="A22" s="7" t="s">
        <v>65</v>
      </c>
      <c r="B22" s="8">
        <v>8</v>
      </c>
      <c r="C22" s="8" t="s">
        <v>63</v>
      </c>
      <c r="D22" s="8">
        <v>50688396</v>
      </c>
      <c r="E22" s="13">
        <v>40.504968274269999</v>
      </c>
      <c r="F22" s="13">
        <v>57.72</v>
      </c>
      <c r="G22" s="13">
        <v>57.84</v>
      </c>
      <c r="H22" s="13">
        <v>58.25</v>
      </c>
      <c r="I22" s="13">
        <v>65</v>
      </c>
      <c r="J22" s="8">
        <v>7779</v>
      </c>
      <c r="K22" s="8">
        <v>0</v>
      </c>
      <c r="L22" s="8">
        <v>0</v>
      </c>
      <c r="M22" s="8" t="s">
        <v>61</v>
      </c>
      <c r="N22" s="20" t="b">
        <v>1</v>
      </c>
      <c r="O22" s="9" t="s">
        <v>66</v>
      </c>
    </row>
    <row r="23" spans="1:15">
      <c r="A23" s="7" t="s">
        <v>65</v>
      </c>
      <c r="B23" s="8">
        <v>9</v>
      </c>
      <c r="C23" s="8" t="s">
        <v>63</v>
      </c>
      <c r="D23" s="8">
        <v>50688398</v>
      </c>
      <c r="E23" s="13">
        <v>40.497243859359997</v>
      </c>
      <c r="F23" s="13">
        <v>57.81</v>
      </c>
      <c r="G23" s="13">
        <v>57.93</v>
      </c>
      <c r="H23" s="13">
        <v>58.25</v>
      </c>
      <c r="I23" s="13">
        <v>64</v>
      </c>
      <c r="J23" s="8">
        <v>7779</v>
      </c>
      <c r="K23" s="8">
        <v>0</v>
      </c>
      <c r="L23" s="8">
        <v>0</v>
      </c>
      <c r="M23" s="8" t="s">
        <v>61</v>
      </c>
      <c r="N23" s="20" t="b">
        <v>1</v>
      </c>
      <c r="O23" s="9" t="s">
        <v>66</v>
      </c>
    </row>
    <row r="24" spans="1:15">
      <c r="A24" s="10" t="s">
        <v>65</v>
      </c>
      <c r="B24" s="11">
        <v>10</v>
      </c>
      <c r="C24" s="11" t="s">
        <v>63</v>
      </c>
      <c r="D24" s="11">
        <v>50688399</v>
      </c>
      <c r="E24" s="15">
        <v>40.503605350779999</v>
      </c>
      <c r="F24" s="15">
        <v>57.69</v>
      </c>
      <c r="G24" s="15">
        <v>57.94</v>
      </c>
      <c r="H24" s="15">
        <v>58.33</v>
      </c>
      <c r="I24" s="15">
        <v>65</v>
      </c>
      <c r="J24" s="11">
        <v>7779</v>
      </c>
      <c r="K24" s="11">
        <v>0</v>
      </c>
      <c r="L24" s="11">
        <v>0</v>
      </c>
      <c r="M24" s="11" t="s">
        <v>61</v>
      </c>
      <c r="N24" s="21" t="b">
        <v>1</v>
      </c>
      <c r="O24" s="12" t="s">
        <v>66</v>
      </c>
    </row>
  </sheetData>
  <mergeCells count="1">
    <mergeCell ref="A1:O2"/>
  </mergeCells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workbookViewId="0">
      <selection activeCell="G11" sqref="G11"/>
    </sheetView>
  </sheetViews>
  <sheetFormatPr defaultRowHeight="14"/>
  <cols>
    <col min="1" max="1" width="28" customWidth="1"/>
    <col min="2" max="2" width="12.75" customWidth="1"/>
    <col min="3" max="3" width="11.58203125" customWidth="1"/>
    <col min="4" max="4" width="6.75" customWidth="1"/>
    <col min="5" max="5" width="10.25" customWidth="1"/>
    <col min="6" max="6" width="12.75" customWidth="1"/>
    <col min="7" max="7" width="9" customWidth="1"/>
    <col min="8" max="8" width="11.9140625" customWidth="1"/>
    <col min="9" max="9" width="13.5" customWidth="1"/>
    <col min="10" max="10" width="15.6640625" customWidth="1"/>
  </cols>
  <sheetData>
    <row r="1" spans="1:10">
      <c r="A1" s="41" t="s">
        <v>67</v>
      </c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4" spans="1:10" ht="28">
      <c r="A4" s="1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4</v>
      </c>
      <c r="I4" s="2" t="s">
        <v>75</v>
      </c>
      <c r="J4" s="3" t="s">
        <v>76</v>
      </c>
    </row>
    <row r="5" spans="1:10">
      <c r="A5" s="4" t="s">
        <v>77</v>
      </c>
      <c r="B5" s="18">
        <v>7.9311524702200007</v>
      </c>
      <c r="C5" s="18">
        <v>1.0510384298809758E-2</v>
      </c>
      <c r="D5" s="23">
        <v>1.3252026534950993E-3</v>
      </c>
      <c r="E5" s="18">
        <v>40.513957862956993</v>
      </c>
      <c r="F5" s="18">
        <v>1.6293609821686057E-2</v>
      </c>
      <c r="G5" s="23">
        <v>4.0217274937198234E-4</v>
      </c>
      <c r="H5" s="18">
        <f t="shared" ref="H5:H11" si="0">E5/B5</f>
        <v>5.108205650449837</v>
      </c>
      <c r="I5" s="18">
        <v>7.5181536344413749E-3</v>
      </c>
      <c r="J5" s="22">
        <v>1.1654936529100169E-2</v>
      </c>
    </row>
    <row r="6" spans="1:10">
      <c r="A6" s="7" t="s">
        <v>50</v>
      </c>
      <c r="B6" s="13">
        <v>22.619999999999997</v>
      </c>
      <c r="C6" s="13">
        <v>1.5634719199411097E-2</v>
      </c>
      <c r="D6" s="24">
        <v>6.9119006186609629E-4</v>
      </c>
      <c r="E6" s="13">
        <v>57.724000000000004</v>
      </c>
      <c r="F6" s="13">
        <v>4.7187568984497386E-2</v>
      </c>
      <c r="G6" s="24">
        <v>8.1746879953740873E-4</v>
      </c>
      <c r="H6" s="13">
        <f t="shared" si="0"/>
        <v>2.5519009725906283</v>
      </c>
      <c r="I6" s="13">
        <v>1.1183627318540019E-2</v>
      </c>
      <c r="J6" s="14">
        <v>3.3753608162684134E-2</v>
      </c>
    </row>
    <row r="7" spans="1:10">
      <c r="A7" s="7" t="s">
        <v>51</v>
      </c>
      <c r="B7" s="13">
        <v>22.763000000000002</v>
      </c>
      <c r="C7" s="13">
        <v>5.2078999819718141E-2</v>
      </c>
      <c r="D7" s="24">
        <v>2.2878794455791478E-3</v>
      </c>
      <c r="E7" s="13">
        <v>57.871000000000002</v>
      </c>
      <c r="F7" s="13">
        <v>6.6741624526560656E-2</v>
      </c>
      <c r="G7" s="24">
        <v>1.1532827241029298E-3</v>
      </c>
      <c r="H7" s="13">
        <f t="shared" si="0"/>
        <v>2.5423274612309448</v>
      </c>
      <c r="I7" s="13">
        <v>3.7252483890339305E-2</v>
      </c>
      <c r="J7" s="14">
        <v>4.7740765012722397E-2</v>
      </c>
    </row>
    <row r="8" spans="1:10">
      <c r="A8" s="7" t="s">
        <v>52</v>
      </c>
      <c r="B8" s="13">
        <v>23.099000000000004</v>
      </c>
      <c r="C8" s="13">
        <v>6.0083275543199317E-2</v>
      </c>
      <c r="D8" s="24">
        <v>2.6011202018788393E-3</v>
      </c>
      <c r="E8" s="13">
        <v>58.208000000000006</v>
      </c>
      <c r="F8" s="13">
        <v>8.5348956903082987E-2</v>
      </c>
      <c r="G8" s="24">
        <v>1.4662753728539545E-3</v>
      </c>
      <c r="H8" s="13">
        <f t="shared" si="0"/>
        <v>2.5199359279622491</v>
      </c>
      <c r="I8" s="13">
        <v>4.2978000000000079E-2</v>
      </c>
      <c r="J8" s="14">
        <v>6.1050723959670899E-2</v>
      </c>
    </row>
    <row r="9" spans="1:10">
      <c r="A9" s="7" t="s">
        <v>78</v>
      </c>
      <c r="B9" s="13">
        <v>29.1</v>
      </c>
      <c r="C9" s="13">
        <v>0.31622776601683789</v>
      </c>
      <c r="D9" s="24">
        <v>1.0866933540097521E-2</v>
      </c>
      <c r="E9" s="13">
        <v>64.2</v>
      </c>
      <c r="F9" s="13">
        <v>0.4216370213557839</v>
      </c>
      <c r="G9" s="24">
        <v>6.567554849778565E-3</v>
      </c>
      <c r="H9" s="13">
        <f t="shared" si="0"/>
        <v>2.2061855670103094</v>
      </c>
      <c r="I9" s="13">
        <v>0.22619999999999996</v>
      </c>
      <c r="J9" s="14">
        <v>0.30159999999999998</v>
      </c>
    </row>
    <row r="10" spans="1:10">
      <c r="A10" s="7" t="s">
        <v>79</v>
      </c>
      <c r="B10" s="13">
        <v>4143.66</v>
      </c>
      <c r="C10" s="13">
        <v>10.559482310542942</v>
      </c>
      <c r="D10" s="24">
        <v>2.5483467057005019E-3</v>
      </c>
      <c r="E10" s="13">
        <v>4136.21</v>
      </c>
      <c r="F10" s="13">
        <v>9.3213554093095876</v>
      </c>
      <c r="G10" s="24">
        <v>2.2535981996343484E-3</v>
      </c>
      <c r="H10" s="13">
        <f t="shared" si="0"/>
        <v>0.99820207256386873</v>
      </c>
      <c r="I10" s="13">
        <v>7.5532737960702407</v>
      </c>
      <c r="J10" s="14">
        <v>6.6676327007716312</v>
      </c>
    </row>
    <row r="11" spans="1:10">
      <c r="A11" s="10" t="s">
        <v>80</v>
      </c>
      <c r="B11" s="15">
        <v>0.64802820000000017</v>
      </c>
      <c r="C11" s="15">
        <v>6.2301285452763068E-2</v>
      </c>
      <c r="D11" s="25">
        <v>9.6139775171455583E-2</v>
      </c>
      <c r="E11" s="15">
        <v>1.6692732999999997</v>
      </c>
      <c r="F11" s="15">
        <v>0.22060058341519004</v>
      </c>
      <c r="G11" s="25">
        <v>0.13215366436112652</v>
      </c>
      <c r="H11" s="15">
        <f t="shared" si="0"/>
        <v>2.575926942685518</v>
      </c>
      <c r="I11" s="15">
        <v>4.4564558472909771E-2</v>
      </c>
      <c r="J11" s="16">
        <v>0.15779718712574722</v>
      </c>
    </row>
  </sheetData>
  <mergeCells count="1">
    <mergeCell ref="A1:J2"/>
  </mergeCells>
  <phoneticPr fontId="6"/>
  <conditionalFormatting sqref="H5:H1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{6B877CD4-06D2-5589-7CD3-7EC3B0D7AA78}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877CD4-06D2-5589-7CD3-7EC3B0D7AA78}">
            <x14:dataBar>
              <x14:cfvo type="min"/>
              <x14:cfvo type="max"/>
              <x14:negativeFillColor auto="1"/>
              <x14:axisColor auto="1"/>
            </x14:dataBar>
          </x14:cfRule>
          <xm:sqref>H5:H11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showGridLines="0" topLeftCell="B1" zoomScale="70" zoomScaleNormal="70" workbookViewId="0">
      <selection activeCell="K34" sqref="K34"/>
    </sheetView>
  </sheetViews>
  <sheetFormatPr defaultRowHeight="14"/>
  <cols>
    <col min="1" max="1" width="43" customWidth="1"/>
    <col min="2" max="2" width="22" customWidth="1"/>
    <col min="3" max="3" width="10.25" customWidth="1"/>
    <col min="4" max="4" width="12.4140625" customWidth="1"/>
    <col min="5" max="5" width="12.5" customWidth="1"/>
    <col min="6" max="6" width="9" customWidth="1"/>
    <col min="7" max="7" width="11.9140625" customWidth="1"/>
    <col min="8" max="8" width="12" customWidth="1"/>
    <col min="9" max="9" width="28" customWidth="1"/>
  </cols>
  <sheetData>
    <row r="1" spans="1:13">
      <c r="A1" s="41" t="s">
        <v>81</v>
      </c>
      <c r="B1" s="41"/>
      <c r="C1" s="41"/>
      <c r="D1" s="41"/>
      <c r="E1" s="41"/>
      <c r="F1" s="41"/>
      <c r="G1" s="41"/>
      <c r="H1" s="41"/>
      <c r="I1" s="41"/>
    </row>
    <row r="2" spans="1:13">
      <c r="A2" s="41"/>
      <c r="B2" s="41"/>
      <c r="C2" s="41"/>
      <c r="D2" s="41"/>
      <c r="E2" s="41"/>
      <c r="F2" s="41"/>
      <c r="G2" s="41"/>
      <c r="H2" s="41"/>
      <c r="I2" s="41"/>
    </row>
    <row r="4" spans="1:13" ht="28">
      <c r="A4" s="1" t="s">
        <v>82</v>
      </c>
      <c r="B4" s="2" t="s">
        <v>83</v>
      </c>
      <c r="C4" s="2" t="s">
        <v>84</v>
      </c>
      <c r="D4" s="2" t="s">
        <v>70</v>
      </c>
      <c r="E4" s="2" t="s">
        <v>85</v>
      </c>
      <c r="F4" s="2" t="s">
        <v>73</v>
      </c>
      <c r="G4" s="2" t="s">
        <v>4</v>
      </c>
      <c r="H4" s="2" t="s">
        <v>86</v>
      </c>
      <c r="I4" s="3" t="s">
        <v>14</v>
      </c>
      <c r="K4" t="s">
        <v>87</v>
      </c>
      <c r="L4" t="s">
        <v>69</v>
      </c>
      <c r="M4" t="s">
        <v>72</v>
      </c>
    </row>
    <row r="5" spans="1:13">
      <c r="A5" s="4">
        <v>1</v>
      </c>
      <c r="B5" s="5" t="s">
        <v>88</v>
      </c>
      <c r="C5" s="26">
        <v>1.8528454703858999</v>
      </c>
      <c r="D5" s="26">
        <v>6.4884192355542762E-3</v>
      </c>
      <c r="E5" s="26">
        <v>9.6161368210059983</v>
      </c>
      <c r="F5" s="26">
        <v>4.8662554585870692E-3</v>
      </c>
      <c r="G5" s="26">
        <v>5.189929206024507</v>
      </c>
      <c r="H5" s="29">
        <v>0.23735367582534542</v>
      </c>
      <c r="I5" s="6" t="s">
        <v>89</v>
      </c>
      <c r="K5" t="s">
        <v>88</v>
      </c>
      <c r="L5">
        <v>1.8528454703858999</v>
      </c>
      <c r="M5">
        <v>9.6161368210059983</v>
      </c>
    </row>
    <row r="6" spans="1:13">
      <c r="A6" s="7">
        <v>2</v>
      </c>
      <c r="B6" s="8" t="s">
        <v>90</v>
      </c>
      <c r="C6" s="27">
        <v>6.9180963631424994E-2</v>
      </c>
      <c r="D6" s="27">
        <v>4.2398693823392518E-4</v>
      </c>
      <c r="E6" s="27">
        <v>0.24886957157712999</v>
      </c>
      <c r="F6" s="27">
        <v>4.9681853724312264E-3</v>
      </c>
      <c r="G6" s="27">
        <v>3.5973707001687765</v>
      </c>
      <c r="H6" s="30">
        <v>6.1428106436542005E-3</v>
      </c>
      <c r="I6" s="9" t="s">
        <v>91</v>
      </c>
      <c r="K6" t="s">
        <v>90</v>
      </c>
      <c r="L6">
        <v>6.9180963631424994E-2</v>
      </c>
      <c r="M6">
        <v>0.24886957157712999</v>
      </c>
    </row>
    <row r="7" spans="1:13">
      <c r="A7" s="7">
        <v>3</v>
      </c>
      <c r="B7" s="8" t="s">
        <v>92</v>
      </c>
      <c r="C7" s="27">
        <v>6.1322378308709999E-2</v>
      </c>
      <c r="D7" s="27">
        <v>3.4275567013194211E-4</v>
      </c>
      <c r="E7" s="27">
        <v>0.20722776529724998</v>
      </c>
      <c r="F7" s="27">
        <v>4.2153344686360361E-4</v>
      </c>
      <c r="G7" s="27">
        <v>3.3793171597817193</v>
      </c>
      <c r="H7" s="30">
        <v>5.1149721288209155E-3</v>
      </c>
      <c r="I7" s="9" t="s">
        <v>91</v>
      </c>
      <c r="K7" t="s">
        <v>92</v>
      </c>
      <c r="L7">
        <v>6.1322378308709999E-2</v>
      </c>
      <c r="M7">
        <v>0.20722776529724998</v>
      </c>
    </row>
    <row r="8" spans="1:13">
      <c r="A8" s="7">
        <v>4</v>
      </c>
      <c r="B8" s="8" t="s">
        <v>93</v>
      </c>
      <c r="C8" s="27">
        <v>1.7786402014103999</v>
      </c>
      <c r="D8" s="27">
        <v>5.7670064450054872E-3</v>
      </c>
      <c r="E8" s="27">
        <v>9.5352894559602994</v>
      </c>
      <c r="F8" s="27">
        <v>5.2400995306212264E-3</v>
      </c>
      <c r="G8" s="27">
        <v>5.3609996267930669</v>
      </c>
      <c r="H8" s="30">
        <v>0.23535813233094841</v>
      </c>
      <c r="I8" s="9" t="s">
        <v>89</v>
      </c>
      <c r="K8" t="s">
        <v>93</v>
      </c>
      <c r="L8">
        <v>1.7786402014103999</v>
      </c>
      <c r="M8">
        <v>9.5352894559602994</v>
      </c>
    </row>
    <row r="9" spans="1:13">
      <c r="A9" s="7">
        <v>5</v>
      </c>
      <c r="B9" s="8" t="s">
        <v>94</v>
      </c>
      <c r="C9" s="27">
        <v>5.7544740256195992E-2</v>
      </c>
      <c r="D9" s="27">
        <v>2.9931286352208666E-4</v>
      </c>
      <c r="E9" s="27">
        <v>0.19849425364946</v>
      </c>
      <c r="F9" s="27">
        <v>1.442982121851698E-3</v>
      </c>
      <c r="G9" s="27">
        <v>3.4493900357485341</v>
      </c>
      <c r="H9" s="30">
        <v>4.8994041589540344E-3</v>
      </c>
      <c r="I9" s="9" t="s">
        <v>91</v>
      </c>
      <c r="K9" t="s">
        <v>94</v>
      </c>
      <c r="L9">
        <v>5.7544740256195992E-2</v>
      </c>
      <c r="M9">
        <v>0.19849425364946</v>
      </c>
    </row>
    <row r="10" spans="1:13">
      <c r="A10" s="7">
        <v>6</v>
      </c>
      <c r="B10" s="8" t="s">
        <v>95</v>
      </c>
      <c r="C10" s="27">
        <v>6.4303137321051002E-2</v>
      </c>
      <c r="D10" s="27">
        <v>2.2348287544022907E-4</v>
      </c>
      <c r="E10" s="27">
        <v>0.20663814608605002</v>
      </c>
      <c r="F10" s="27">
        <v>5.5536408160289884E-4</v>
      </c>
      <c r="G10" s="27">
        <v>3.2135002224596376</v>
      </c>
      <c r="H10" s="30">
        <v>5.1004186454709447E-3</v>
      </c>
      <c r="I10" s="9" t="s">
        <v>91</v>
      </c>
      <c r="K10" t="s">
        <v>95</v>
      </c>
      <c r="L10">
        <v>6.4303137321051002E-2</v>
      </c>
      <c r="M10">
        <v>0.20663814608605002</v>
      </c>
    </row>
    <row r="11" spans="1:13">
      <c r="A11" s="7">
        <v>7</v>
      </c>
      <c r="B11" s="8" t="s">
        <v>96</v>
      </c>
      <c r="C11" s="27">
        <v>6.3952247456555991E-2</v>
      </c>
      <c r="D11" s="27">
        <v>9.0628677331610339E-4</v>
      </c>
      <c r="E11" s="27">
        <v>0.23181464607345997</v>
      </c>
      <c r="F11" s="27">
        <v>1.3327858166718178E-3</v>
      </c>
      <c r="G11" s="27">
        <v>3.6248084358714081</v>
      </c>
      <c r="H11" s="30">
        <v>5.7218464524645806E-3</v>
      </c>
      <c r="I11" s="9" t="s">
        <v>91</v>
      </c>
      <c r="K11" t="s">
        <v>96</v>
      </c>
      <c r="L11">
        <v>6.3952247456555991E-2</v>
      </c>
      <c r="M11">
        <v>0.23181464607345997</v>
      </c>
    </row>
    <row r="12" spans="1:13">
      <c r="A12" s="7">
        <v>8</v>
      </c>
      <c r="B12" s="8" t="s">
        <v>97</v>
      </c>
      <c r="C12" s="27">
        <v>7.2610616246307005E-2</v>
      </c>
      <c r="D12" s="27">
        <v>2.3915012869196088E-4</v>
      </c>
      <c r="E12" s="27">
        <v>0.27655419918552998</v>
      </c>
      <c r="F12" s="27">
        <v>3.0563626301628333E-3</v>
      </c>
      <c r="G12" s="27">
        <v>3.8087295423497469</v>
      </c>
      <c r="H12" s="30">
        <v>6.8261461919125648E-3</v>
      </c>
      <c r="I12" s="9" t="s">
        <v>91</v>
      </c>
      <c r="K12" t="s">
        <v>97</v>
      </c>
      <c r="L12">
        <v>7.2610616246307005E-2</v>
      </c>
      <c r="M12">
        <v>0.27655419918552998</v>
      </c>
    </row>
    <row r="13" spans="1:13">
      <c r="A13" s="7">
        <v>9</v>
      </c>
      <c r="B13" s="8" t="s">
        <v>98</v>
      </c>
      <c r="C13" s="27">
        <v>5.7597083434940001E-2</v>
      </c>
      <c r="D13" s="27">
        <v>2.3640212210395515E-4</v>
      </c>
      <c r="E13" s="27">
        <v>0.17468725098345</v>
      </c>
      <c r="F13" s="27">
        <v>3.663723148598615E-4</v>
      </c>
      <c r="G13" s="27">
        <v>3.0329183452625976</v>
      </c>
      <c r="H13" s="30">
        <v>4.311779450784572E-3</v>
      </c>
      <c r="I13" s="9" t="s">
        <v>91</v>
      </c>
      <c r="K13" t="s">
        <v>98</v>
      </c>
      <c r="L13">
        <v>5.7597083434940001E-2</v>
      </c>
      <c r="M13">
        <v>0.17468725098345</v>
      </c>
    </row>
    <row r="14" spans="1:13">
      <c r="A14" s="7">
        <v>10</v>
      </c>
      <c r="B14" s="8" t="s">
        <v>99</v>
      </c>
      <c r="C14" s="27">
        <v>1.8316771924030999</v>
      </c>
      <c r="D14" s="27">
        <v>6.7351492361853969E-3</v>
      </c>
      <c r="E14" s="27">
        <v>9.5942052045405983</v>
      </c>
      <c r="F14" s="27">
        <v>2.4404620977271753E-3</v>
      </c>
      <c r="G14" s="27">
        <v>5.2379345248893552</v>
      </c>
      <c r="H14" s="30">
        <v>0.23681234099601114</v>
      </c>
      <c r="I14" s="9" t="s">
        <v>89</v>
      </c>
      <c r="K14" t="s">
        <v>99</v>
      </c>
      <c r="L14">
        <v>1.8316771924030999</v>
      </c>
      <c r="M14">
        <v>9.5942052045405983</v>
      </c>
    </row>
    <row r="15" spans="1:13">
      <c r="A15" s="7">
        <v>11</v>
      </c>
      <c r="B15" s="8" t="s">
        <v>100</v>
      </c>
      <c r="C15" s="27">
        <v>5.8934261634035999E-2</v>
      </c>
      <c r="D15" s="27">
        <v>6.6253434066191686E-4</v>
      </c>
      <c r="E15" s="27">
        <v>0.23432921004022003</v>
      </c>
      <c r="F15" s="27">
        <v>2.9196541174800594E-3</v>
      </c>
      <c r="G15" s="27">
        <v>3.9761117479562871</v>
      </c>
      <c r="H15" s="30">
        <v>5.7839130610952616E-3</v>
      </c>
      <c r="I15" s="9" t="s">
        <v>91</v>
      </c>
      <c r="K15" t="s">
        <v>100</v>
      </c>
      <c r="L15">
        <v>5.8934261634035999E-2</v>
      </c>
      <c r="M15">
        <v>0.23432921004022003</v>
      </c>
    </row>
    <row r="16" spans="1:13">
      <c r="A16" s="7">
        <v>12</v>
      </c>
      <c r="B16" s="8" t="s">
        <v>101</v>
      </c>
      <c r="C16" s="27">
        <v>6.1388139357347007E-2</v>
      </c>
      <c r="D16" s="27">
        <v>1.0227120160837379E-4</v>
      </c>
      <c r="E16" s="27">
        <v>0.17563492233021002</v>
      </c>
      <c r="F16" s="27">
        <v>2.2190562497255737E-4</v>
      </c>
      <c r="G16" s="27">
        <v>2.8610562914738322</v>
      </c>
      <c r="H16" s="30">
        <v>4.3351706817762624E-3</v>
      </c>
      <c r="I16" s="9" t="s">
        <v>91</v>
      </c>
      <c r="K16" t="s">
        <v>101</v>
      </c>
      <c r="L16">
        <v>6.1388139357347007E-2</v>
      </c>
      <c r="M16">
        <v>0.17563492233021002</v>
      </c>
    </row>
    <row r="17" spans="1:13">
      <c r="A17" s="7">
        <v>13</v>
      </c>
      <c r="B17" s="8" t="s">
        <v>102</v>
      </c>
      <c r="C17" s="27">
        <v>1.8158565373158002</v>
      </c>
      <c r="D17" s="27">
        <v>3.3098526320768065E-3</v>
      </c>
      <c r="E17" s="27">
        <v>9.5665403247308003</v>
      </c>
      <c r="F17" s="27">
        <v>3.0106076659412121E-3</v>
      </c>
      <c r="G17" s="27">
        <v>5.2683348756571178</v>
      </c>
      <c r="H17" s="30">
        <v>0.2361294928797304</v>
      </c>
      <c r="I17" s="9" t="s">
        <v>89</v>
      </c>
      <c r="K17" t="s">
        <v>102</v>
      </c>
      <c r="L17">
        <v>1.8158565373158002</v>
      </c>
      <c r="M17">
        <v>9.5665403247308003</v>
      </c>
    </row>
    <row r="18" spans="1:13">
      <c r="A18" s="10">
        <v>14</v>
      </c>
      <c r="B18" s="11" t="s">
        <v>103</v>
      </c>
      <c r="C18" s="28">
        <v>7.0354630616696001E-2</v>
      </c>
      <c r="D18" s="28">
        <v>2.8132300555974649E-3</v>
      </c>
      <c r="E18" s="28">
        <v>0.23032413478067001</v>
      </c>
      <c r="F18" s="28">
        <v>1.173839165379563E-3</v>
      </c>
      <c r="G18" s="28">
        <v>3.2737594208335068</v>
      </c>
      <c r="H18" s="31">
        <v>5.6850563837719153E-3</v>
      </c>
      <c r="I18" s="12" t="s">
        <v>91</v>
      </c>
      <c r="K18" t="s">
        <v>103</v>
      </c>
      <c r="L18">
        <v>7.0354630616696001E-2</v>
      </c>
      <c r="M18">
        <v>0.23032413478067001</v>
      </c>
    </row>
  </sheetData>
  <mergeCells count="1">
    <mergeCell ref="A1:I2"/>
  </mergeCells>
  <phoneticPr fontId="6"/>
  <conditionalFormatting sqref="G5:G1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{4091C801-B398-7B42-2809-5478A8C96C4A}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91C801-B398-7B42-2809-5478A8C96C4A}">
            <x14:dataBar>
              <x14:cfvo type="min"/>
              <x14:cfvo type="max"/>
              <x14:negativeFillColor auto="1"/>
              <x14:axisColor auto="1"/>
            </x14:dataBar>
          </x14:cfRule>
          <xm:sqref>G5:G18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showGridLines="0" topLeftCell="E1" workbookViewId="0">
      <selection sqref="A1:K2"/>
    </sheetView>
  </sheetViews>
  <sheetFormatPr defaultRowHeight="14"/>
  <cols>
    <col min="1" max="1" width="80" customWidth="1"/>
    <col min="2" max="2" width="4.25" customWidth="1"/>
    <col min="3" max="3" width="8" customWidth="1"/>
    <col min="4" max="4" width="3.4140625" customWidth="1"/>
    <col min="5" max="5" width="3.6640625" customWidth="1"/>
    <col min="6" max="6" width="8.75" customWidth="1"/>
    <col min="7" max="7" width="17.5" customWidth="1"/>
    <col min="8" max="8" width="17.83203125" customWidth="1"/>
    <col min="9" max="9" width="18.25" customWidth="1"/>
    <col min="10" max="10" width="19.6640625" customWidth="1"/>
    <col min="11" max="11" width="7.5" customWidth="1"/>
  </cols>
  <sheetData>
    <row r="1" spans="1:11">
      <c r="A1" s="41" t="s">
        <v>104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4" spans="1:11" ht="28">
      <c r="A4" s="1" t="s">
        <v>46</v>
      </c>
      <c r="B4" s="2" t="s">
        <v>5</v>
      </c>
      <c r="C4" s="2" t="s">
        <v>48</v>
      </c>
      <c r="D4" s="2" t="s">
        <v>55</v>
      </c>
      <c r="E4" s="2" t="s">
        <v>56</v>
      </c>
      <c r="F4" s="2" t="s">
        <v>54</v>
      </c>
      <c r="G4" s="2" t="s">
        <v>105</v>
      </c>
      <c r="H4" s="2" t="s">
        <v>106</v>
      </c>
      <c r="I4" s="2" t="s">
        <v>107</v>
      </c>
      <c r="J4" s="2" t="s">
        <v>108</v>
      </c>
      <c r="K4" s="3" t="s">
        <v>57</v>
      </c>
    </row>
    <row r="5" spans="1:11">
      <c r="A5" s="4" t="s">
        <v>2</v>
      </c>
      <c r="B5" s="5">
        <v>1</v>
      </c>
      <c r="C5" s="5">
        <v>50688055</v>
      </c>
      <c r="D5" s="5">
        <v>0</v>
      </c>
      <c r="E5" s="5">
        <v>0</v>
      </c>
      <c r="F5" s="5">
        <v>7779</v>
      </c>
      <c r="G5" s="32">
        <v>0.62512994697500002</v>
      </c>
      <c r="H5" s="32">
        <v>0.622916188574</v>
      </c>
      <c r="I5" s="32">
        <v>8.3995000000000001E-4</v>
      </c>
      <c r="J5" s="32">
        <v>0.622916188574</v>
      </c>
      <c r="K5" s="6" t="s">
        <v>61</v>
      </c>
    </row>
    <row r="6" spans="1:11">
      <c r="A6" s="7" t="s">
        <v>2</v>
      </c>
      <c r="B6" s="8">
        <v>2</v>
      </c>
      <c r="C6" s="8">
        <v>50688376</v>
      </c>
      <c r="D6" s="8">
        <v>0</v>
      </c>
      <c r="E6" s="8">
        <v>0</v>
      </c>
      <c r="F6" s="8">
        <v>7779</v>
      </c>
      <c r="G6" s="33">
        <v>0.62512994697500002</v>
      </c>
      <c r="H6" s="33">
        <v>0.622916188574</v>
      </c>
      <c r="I6" s="33">
        <v>8.3995000000000001E-4</v>
      </c>
      <c r="J6" s="33">
        <v>0.622916188574</v>
      </c>
      <c r="K6" s="9" t="s">
        <v>61</v>
      </c>
    </row>
    <row r="7" spans="1:11">
      <c r="A7" s="7" t="s">
        <v>2</v>
      </c>
      <c r="B7" s="8">
        <v>3</v>
      </c>
      <c r="C7" s="8">
        <v>50688378</v>
      </c>
      <c r="D7" s="8">
        <v>0</v>
      </c>
      <c r="E7" s="8">
        <v>0</v>
      </c>
      <c r="F7" s="8">
        <v>7779</v>
      </c>
      <c r="G7" s="33">
        <v>0.62512994697500002</v>
      </c>
      <c r="H7" s="33">
        <v>0.622916188574</v>
      </c>
      <c r="I7" s="33">
        <v>8.3995000000000001E-4</v>
      </c>
      <c r="J7" s="33">
        <v>0.622916188574</v>
      </c>
      <c r="K7" s="9" t="s">
        <v>61</v>
      </c>
    </row>
    <row r="8" spans="1:11">
      <c r="A8" s="7" t="s">
        <v>2</v>
      </c>
      <c r="B8" s="8">
        <v>4</v>
      </c>
      <c r="C8" s="8">
        <v>50688380</v>
      </c>
      <c r="D8" s="8">
        <v>0</v>
      </c>
      <c r="E8" s="8">
        <v>0</v>
      </c>
      <c r="F8" s="8">
        <v>7779</v>
      </c>
      <c r="G8" s="33">
        <v>0.62512994697500002</v>
      </c>
      <c r="H8" s="33">
        <v>0.622916188574</v>
      </c>
      <c r="I8" s="33">
        <v>8.3995000000000001E-4</v>
      </c>
      <c r="J8" s="33">
        <v>0.622916188574</v>
      </c>
      <c r="K8" s="9" t="s">
        <v>61</v>
      </c>
    </row>
    <row r="9" spans="1:11">
      <c r="A9" s="7" t="s">
        <v>2</v>
      </c>
      <c r="B9" s="8">
        <v>5</v>
      </c>
      <c r="C9" s="8">
        <v>50688382</v>
      </c>
      <c r="D9" s="8">
        <v>0</v>
      </c>
      <c r="E9" s="8">
        <v>0</v>
      </c>
      <c r="F9" s="8">
        <v>7779</v>
      </c>
      <c r="G9" s="33">
        <v>0.62512994697500002</v>
      </c>
      <c r="H9" s="33">
        <v>0.622916188574</v>
      </c>
      <c r="I9" s="33">
        <v>8.3995000000000001E-4</v>
      </c>
      <c r="J9" s="33">
        <v>0.622916188574</v>
      </c>
      <c r="K9" s="9" t="s">
        <v>61</v>
      </c>
    </row>
    <row r="10" spans="1:11">
      <c r="A10" s="7" t="s">
        <v>2</v>
      </c>
      <c r="B10" s="8">
        <v>6</v>
      </c>
      <c r="C10" s="8">
        <v>50688385</v>
      </c>
      <c r="D10" s="8">
        <v>0</v>
      </c>
      <c r="E10" s="8">
        <v>0</v>
      </c>
      <c r="F10" s="8">
        <v>7779</v>
      </c>
      <c r="G10" s="33">
        <v>0.62512994697500002</v>
      </c>
      <c r="H10" s="33">
        <v>0.622916188574</v>
      </c>
      <c r="I10" s="33">
        <v>8.3995000000000001E-4</v>
      </c>
      <c r="J10" s="33">
        <v>0.622916188574</v>
      </c>
      <c r="K10" s="9" t="s">
        <v>61</v>
      </c>
    </row>
    <row r="11" spans="1:11">
      <c r="A11" s="7" t="s">
        <v>2</v>
      </c>
      <c r="B11" s="8">
        <v>7</v>
      </c>
      <c r="C11" s="8">
        <v>50688386</v>
      </c>
      <c r="D11" s="8">
        <v>0</v>
      </c>
      <c r="E11" s="8">
        <v>0</v>
      </c>
      <c r="F11" s="8">
        <v>7779</v>
      </c>
      <c r="G11" s="33">
        <v>0.62512994697500002</v>
      </c>
      <c r="H11" s="33">
        <v>0.622916188574</v>
      </c>
      <c r="I11" s="33">
        <v>8.3995000000000001E-4</v>
      </c>
      <c r="J11" s="33">
        <v>0.622916188574</v>
      </c>
      <c r="K11" s="9" t="s">
        <v>61</v>
      </c>
    </row>
    <row r="12" spans="1:11">
      <c r="A12" s="7" t="s">
        <v>2</v>
      </c>
      <c r="B12" s="8">
        <v>8</v>
      </c>
      <c r="C12" s="8">
        <v>50688387</v>
      </c>
      <c r="D12" s="8">
        <v>0</v>
      </c>
      <c r="E12" s="8">
        <v>0</v>
      </c>
      <c r="F12" s="8">
        <v>7779</v>
      </c>
      <c r="G12" s="33">
        <v>0.62512994697500002</v>
      </c>
      <c r="H12" s="33">
        <v>0.622916188574</v>
      </c>
      <c r="I12" s="33">
        <v>8.3995000000000001E-4</v>
      </c>
      <c r="J12" s="33">
        <v>0.622916188574</v>
      </c>
      <c r="K12" s="9" t="s">
        <v>61</v>
      </c>
    </row>
    <row r="13" spans="1:11">
      <c r="A13" s="7" t="s">
        <v>2</v>
      </c>
      <c r="B13" s="8">
        <v>9</v>
      </c>
      <c r="C13" s="8">
        <v>50688388</v>
      </c>
      <c r="D13" s="8">
        <v>0</v>
      </c>
      <c r="E13" s="8">
        <v>0</v>
      </c>
      <c r="F13" s="8">
        <v>7779</v>
      </c>
      <c r="G13" s="33">
        <v>0.62512994697500002</v>
      </c>
      <c r="H13" s="33">
        <v>0.622916188574</v>
      </c>
      <c r="I13" s="33">
        <v>8.3995000000000001E-4</v>
      </c>
      <c r="J13" s="33">
        <v>0.622916188574</v>
      </c>
      <c r="K13" s="9" t="s">
        <v>61</v>
      </c>
    </row>
    <row r="14" spans="1:11">
      <c r="A14" s="7" t="s">
        <v>2</v>
      </c>
      <c r="B14" s="8">
        <v>10</v>
      </c>
      <c r="C14" s="8">
        <v>50688389</v>
      </c>
      <c r="D14" s="8">
        <v>0</v>
      </c>
      <c r="E14" s="8">
        <v>0</v>
      </c>
      <c r="F14" s="8">
        <v>7779</v>
      </c>
      <c r="G14" s="33">
        <v>0.62512994697500002</v>
      </c>
      <c r="H14" s="33">
        <v>0.622916188574</v>
      </c>
      <c r="I14" s="33">
        <v>8.3995000000000001E-4</v>
      </c>
      <c r="J14" s="33">
        <v>0.622916188574</v>
      </c>
      <c r="K14" s="9" t="s">
        <v>61</v>
      </c>
    </row>
    <row r="15" spans="1:11">
      <c r="A15" s="7" t="s">
        <v>65</v>
      </c>
      <c r="B15" s="8">
        <v>1</v>
      </c>
      <c r="C15" s="8">
        <v>50688058</v>
      </c>
      <c r="D15" s="8">
        <v>0</v>
      </c>
      <c r="E15" s="8">
        <v>0</v>
      </c>
      <c r="F15" s="8">
        <v>7779</v>
      </c>
      <c r="G15" s="33">
        <v>0.62512994697500002</v>
      </c>
      <c r="H15" s="33">
        <v>0.622916188574</v>
      </c>
      <c r="I15" s="33">
        <v>8.3995000000000001E-4</v>
      </c>
      <c r="J15" s="33">
        <v>0.622916188574</v>
      </c>
      <c r="K15" s="9" t="s">
        <v>61</v>
      </c>
    </row>
    <row r="16" spans="1:11">
      <c r="A16" s="7" t="s">
        <v>65</v>
      </c>
      <c r="B16" s="8">
        <v>2</v>
      </c>
      <c r="C16" s="8">
        <v>50688390</v>
      </c>
      <c r="D16" s="8">
        <v>0</v>
      </c>
      <c r="E16" s="8">
        <v>0</v>
      </c>
      <c r="F16" s="8">
        <v>7779</v>
      </c>
      <c r="G16" s="33">
        <v>0.62512994697500002</v>
      </c>
      <c r="H16" s="33">
        <v>0.622916188574</v>
      </c>
      <c r="I16" s="33">
        <v>8.3995000000000001E-4</v>
      </c>
      <c r="J16" s="33">
        <v>0.622916188574</v>
      </c>
      <c r="K16" s="9" t="s">
        <v>61</v>
      </c>
    </row>
    <row r="17" spans="1:11">
      <c r="A17" s="7" t="s">
        <v>65</v>
      </c>
      <c r="B17" s="8">
        <v>3</v>
      </c>
      <c r="C17" s="8">
        <v>50688391</v>
      </c>
      <c r="D17" s="8">
        <v>0</v>
      </c>
      <c r="E17" s="8">
        <v>0</v>
      </c>
      <c r="F17" s="8">
        <v>7779</v>
      </c>
      <c r="G17" s="33">
        <v>0.62512994697500002</v>
      </c>
      <c r="H17" s="33">
        <v>0.622916188574</v>
      </c>
      <c r="I17" s="33">
        <v>8.3995000000000001E-4</v>
      </c>
      <c r="J17" s="33">
        <v>0.622916188574</v>
      </c>
      <c r="K17" s="9" t="s">
        <v>61</v>
      </c>
    </row>
    <row r="18" spans="1:11">
      <c r="A18" s="7" t="s">
        <v>65</v>
      </c>
      <c r="B18" s="8">
        <v>4</v>
      </c>
      <c r="C18" s="8">
        <v>50688392</v>
      </c>
      <c r="D18" s="8">
        <v>0</v>
      </c>
      <c r="E18" s="8">
        <v>0</v>
      </c>
      <c r="F18" s="8">
        <v>7779</v>
      </c>
      <c r="G18" s="33">
        <v>0.62512994697500002</v>
      </c>
      <c r="H18" s="33">
        <v>0.622916188574</v>
      </c>
      <c r="I18" s="33">
        <v>8.3995000000000001E-4</v>
      </c>
      <c r="J18" s="33">
        <v>0.622916188574</v>
      </c>
      <c r="K18" s="9" t="s">
        <v>61</v>
      </c>
    </row>
    <row r="19" spans="1:11">
      <c r="A19" s="7" t="s">
        <v>65</v>
      </c>
      <c r="B19" s="8">
        <v>5</v>
      </c>
      <c r="C19" s="8">
        <v>50688393</v>
      </c>
      <c r="D19" s="8">
        <v>0</v>
      </c>
      <c r="E19" s="8">
        <v>0</v>
      </c>
      <c r="F19" s="8">
        <v>7779</v>
      </c>
      <c r="G19" s="33">
        <v>0.62512994697500002</v>
      </c>
      <c r="H19" s="33">
        <v>0.622916188574</v>
      </c>
      <c r="I19" s="33">
        <v>8.3995000000000001E-4</v>
      </c>
      <c r="J19" s="33">
        <v>0.622916188574</v>
      </c>
      <c r="K19" s="9" t="s">
        <v>61</v>
      </c>
    </row>
    <row r="20" spans="1:11">
      <c r="A20" s="7" t="s">
        <v>65</v>
      </c>
      <c r="B20" s="8">
        <v>6</v>
      </c>
      <c r="C20" s="8">
        <v>50688394</v>
      </c>
      <c r="D20" s="8">
        <v>0</v>
      </c>
      <c r="E20" s="8">
        <v>0</v>
      </c>
      <c r="F20" s="8">
        <v>7779</v>
      </c>
      <c r="G20" s="33">
        <v>0.62512994697500002</v>
      </c>
      <c r="H20" s="33">
        <v>0.622916188574</v>
      </c>
      <c r="I20" s="33">
        <v>8.3995000000000001E-4</v>
      </c>
      <c r="J20" s="33">
        <v>0.622916188574</v>
      </c>
      <c r="K20" s="9" t="s">
        <v>61</v>
      </c>
    </row>
    <row r="21" spans="1:11">
      <c r="A21" s="7" t="s">
        <v>65</v>
      </c>
      <c r="B21" s="8">
        <v>7</v>
      </c>
      <c r="C21" s="8">
        <v>50688395</v>
      </c>
      <c r="D21" s="8">
        <v>0</v>
      </c>
      <c r="E21" s="8">
        <v>0</v>
      </c>
      <c r="F21" s="8">
        <v>7779</v>
      </c>
      <c r="G21" s="33">
        <v>0.62512994697500002</v>
      </c>
      <c r="H21" s="33">
        <v>0.622916188574</v>
      </c>
      <c r="I21" s="33">
        <v>8.3995000000000001E-4</v>
      </c>
      <c r="J21" s="33">
        <v>0.622916188574</v>
      </c>
      <c r="K21" s="9" t="s">
        <v>61</v>
      </c>
    </row>
    <row r="22" spans="1:11">
      <c r="A22" s="7" t="s">
        <v>65</v>
      </c>
      <c r="B22" s="8">
        <v>8</v>
      </c>
      <c r="C22" s="8">
        <v>50688396</v>
      </c>
      <c r="D22" s="8">
        <v>0</v>
      </c>
      <c r="E22" s="8">
        <v>0</v>
      </c>
      <c r="F22" s="8">
        <v>7779</v>
      </c>
      <c r="G22" s="33">
        <v>0.62512994697500002</v>
      </c>
      <c r="H22" s="33">
        <v>0.622916188574</v>
      </c>
      <c r="I22" s="33">
        <v>8.3995000000000001E-4</v>
      </c>
      <c r="J22" s="33">
        <v>0.622916188574</v>
      </c>
      <c r="K22" s="9" t="s">
        <v>61</v>
      </c>
    </row>
    <row r="23" spans="1:11">
      <c r="A23" s="7" t="s">
        <v>65</v>
      </c>
      <c r="B23" s="8">
        <v>9</v>
      </c>
      <c r="C23" s="8">
        <v>50688398</v>
      </c>
      <c r="D23" s="8">
        <v>0</v>
      </c>
      <c r="E23" s="8">
        <v>0</v>
      </c>
      <c r="F23" s="8">
        <v>7779</v>
      </c>
      <c r="G23" s="33">
        <v>0.62512994697500002</v>
      </c>
      <c r="H23" s="33">
        <v>0.622916188574</v>
      </c>
      <c r="I23" s="33">
        <v>8.3995000000000001E-4</v>
      </c>
      <c r="J23" s="33">
        <v>0.622916188574</v>
      </c>
      <c r="K23" s="9" t="s">
        <v>61</v>
      </c>
    </row>
    <row r="24" spans="1:11">
      <c r="A24" s="10" t="s">
        <v>65</v>
      </c>
      <c r="B24" s="11">
        <v>10</v>
      </c>
      <c r="C24" s="11">
        <v>50688399</v>
      </c>
      <c r="D24" s="11">
        <v>0</v>
      </c>
      <c r="E24" s="11">
        <v>0</v>
      </c>
      <c r="F24" s="11">
        <v>7779</v>
      </c>
      <c r="G24" s="34">
        <v>0.62512994697500002</v>
      </c>
      <c r="H24" s="34">
        <v>0.622916188574</v>
      </c>
      <c r="I24" s="34">
        <v>8.3995000000000001E-4</v>
      </c>
      <c r="J24" s="34">
        <v>0.622916188574</v>
      </c>
      <c r="K24" s="12" t="s">
        <v>61</v>
      </c>
    </row>
    <row r="26" spans="1:11">
      <c r="A26" s="48" t="s">
        <v>109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</row>
    <row r="27" spans="1:1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</row>
  </sheetData>
  <mergeCells count="2">
    <mergeCell ref="A1:K2"/>
    <mergeCell ref="A26:K27"/>
  </mergeCells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showGridLines="0" zoomScale="85" zoomScaleNormal="85" workbookViewId="0">
      <selection sqref="A1:J2"/>
    </sheetView>
  </sheetViews>
  <sheetFormatPr defaultRowHeight="14"/>
  <cols>
    <col min="1" max="1" width="26.4140625" customWidth="1"/>
    <col min="2" max="2" width="4.25" customWidth="1"/>
    <col min="3" max="3" width="8" customWidth="1"/>
    <col min="4" max="4" width="25" customWidth="1"/>
    <col min="5" max="5" width="12.83203125" customWidth="1"/>
    <col min="6" max="6" width="9.75" customWidth="1"/>
    <col min="7" max="7" width="6.6640625" customWidth="1"/>
    <col min="8" max="8" width="13" customWidth="1"/>
    <col min="9" max="9" width="14.4140625" customWidth="1"/>
    <col min="10" max="10" width="15" customWidth="1"/>
  </cols>
  <sheetData>
    <row r="1" spans="1:10">
      <c r="A1" s="41" t="s">
        <v>110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4" spans="1:10" ht="28">
      <c r="A4" s="1" t="s">
        <v>46</v>
      </c>
      <c r="B4" s="2" t="s">
        <v>5</v>
      </c>
      <c r="C4" s="2" t="s">
        <v>48</v>
      </c>
      <c r="D4" s="2" t="s">
        <v>47</v>
      </c>
      <c r="E4" s="2" t="s">
        <v>111</v>
      </c>
      <c r="F4" s="2" t="s">
        <v>59</v>
      </c>
      <c r="G4" s="2" t="s">
        <v>112</v>
      </c>
      <c r="H4" s="2" t="s">
        <v>79</v>
      </c>
      <c r="I4" s="2" t="s">
        <v>80</v>
      </c>
      <c r="J4" s="3" t="s">
        <v>113</v>
      </c>
    </row>
    <row r="5" spans="1:10">
      <c r="A5" s="4" t="s">
        <v>2</v>
      </c>
      <c r="B5" s="5">
        <v>1</v>
      </c>
      <c r="C5" s="5">
        <v>50688055</v>
      </c>
      <c r="D5" s="5" t="s">
        <v>60</v>
      </c>
      <c r="E5" s="5" t="s">
        <v>114</v>
      </c>
      <c r="F5" s="5" t="s">
        <v>62</v>
      </c>
      <c r="G5" s="35">
        <v>29</v>
      </c>
      <c r="H5" s="35">
        <v>4128.7</v>
      </c>
      <c r="I5" s="35">
        <v>0.60929999999999995</v>
      </c>
      <c r="J5" s="38" t="s">
        <v>115</v>
      </c>
    </row>
    <row r="6" spans="1:10">
      <c r="A6" s="7" t="s">
        <v>2</v>
      </c>
      <c r="B6" s="8">
        <v>2</v>
      </c>
      <c r="C6" s="8">
        <v>50688376</v>
      </c>
      <c r="D6" s="8" t="s">
        <v>63</v>
      </c>
      <c r="E6" s="8" t="s">
        <v>114</v>
      </c>
      <c r="F6" s="8" t="s">
        <v>64</v>
      </c>
      <c r="G6" s="36">
        <v>29</v>
      </c>
      <c r="H6" s="36">
        <v>4160.1000000000004</v>
      </c>
      <c r="I6" s="36">
        <v>0.70308000000000004</v>
      </c>
      <c r="J6" s="39" t="s">
        <v>115</v>
      </c>
    </row>
    <row r="7" spans="1:10">
      <c r="A7" s="7" t="s">
        <v>2</v>
      </c>
      <c r="B7" s="8">
        <v>3</v>
      </c>
      <c r="C7" s="8">
        <v>50688378</v>
      </c>
      <c r="D7" s="8" t="s">
        <v>63</v>
      </c>
      <c r="E7" s="8" t="s">
        <v>114</v>
      </c>
      <c r="F7" s="8" t="s">
        <v>64</v>
      </c>
      <c r="G7" s="36">
        <v>29</v>
      </c>
      <c r="H7" s="36">
        <v>4139.2</v>
      </c>
      <c r="I7" s="36">
        <v>0.73251699999999997</v>
      </c>
      <c r="J7" s="39" t="s">
        <v>115</v>
      </c>
    </row>
    <row r="8" spans="1:10">
      <c r="A8" s="7" t="s">
        <v>2</v>
      </c>
      <c r="B8" s="8">
        <v>4</v>
      </c>
      <c r="C8" s="8">
        <v>50688380</v>
      </c>
      <c r="D8" s="8" t="s">
        <v>63</v>
      </c>
      <c r="E8" s="8" t="s">
        <v>114</v>
      </c>
      <c r="F8" s="8" t="s">
        <v>64</v>
      </c>
      <c r="G8" s="36">
        <v>29</v>
      </c>
      <c r="H8" s="36">
        <v>4152</v>
      </c>
      <c r="I8" s="36">
        <v>0.73967099999999997</v>
      </c>
      <c r="J8" s="39" t="s">
        <v>115</v>
      </c>
    </row>
    <row r="9" spans="1:10">
      <c r="A9" s="7" t="s">
        <v>2</v>
      </c>
      <c r="B9" s="8">
        <v>5</v>
      </c>
      <c r="C9" s="8">
        <v>50688382</v>
      </c>
      <c r="D9" s="8" t="s">
        <v>63</v>
      </c>
      <c r="E9" s="8" t="s">
        <v>114</v>
      </c>
      <c r="F9" s="8" t="s">
        <v>64</v>
      </c>
      <c r="G9" s="36">
        <v>29</v>
      </c>
      <c r="H9" s="36">
        <v>4147.2</v>
      </c>
      <c r="I9" s="36">
        <v>0.61465099999999995</v>
      </c>
      <c r="J9" s="39" t="s">
        <v>115</v>
      </c>
    </row>
    <row r="10" spans="1:10">
      <c r="A10" s="7" t="s">
        <v>2</v>
      </c>
      <c r="B10" s="8">
        <v>6</v>
      </c>
      <c r="C10" s="8">
        <v>50688385</v>
      </c>
      <c r="D10" s="8" t="s">
        <v>63</v>
      </c>
      <c r="E10" s="8" t="s">
        <v>114</v>
      </c>
      <c r="F10" s="8" t="s">
        <v>64</v>
      </c>
      <c r="G10" s="36">
        <v>29</v>
      </c>
      <c r="H10" s="36">
        <v>4133.2</v>
      </c>
      <c r="I10" s="36">
        <v>0.58431500000000003</v>
      </c>
      <c r="J10" s="39" t="s">
        <v>115</v>
      </c>
    </row>
    <row r="11" spans="1:10">
      <c r="A11" s="7" t="s">
        <v>2</v>
      </c>
      <c r="B11" s="8">
        <v>7</v>
      </c>
      <c r="C11" s="8">
        <v>50688386</v>
      </c>
      <c r="D11" s="8" t="s">
        <v>63</v>
      </c>
      <c r="E11" s="8" t="s">
        <v>114</v>
      </c>
      <c r="F11" s="8" t="s">
        <v>64</v>
      </c>
      <c r="G11" s="36">
        <v>29</v>
      </c>
      <c r="H11" s="36">
        <v>4154.7</v>
      </c>
      <c r="I11" s="36">
        <v>0.59282199999999996</v>
      </c>
      <c r="J11" s="39" t="s">
        <v>115</v>
      </c>
    </row>
    <row r="12" spans="1:10">
      <c r="A12" s="7" t="s">
        <v>2</v>
      </c>
      <c r="B12" s="8">
        <v>8</v>
      </c>
      <c r="C12" s="8">
        <v>50688387</v>
      </c>
      <c r="D12" s="8" t="s">
        <v>63</v>
      </c>
      <c r="E12" s="8" t="s">
        <v>114</v>
      </c>
      <c r="F12" s="8" t="s">
        <v>64</v>
      </c>
      <c r="G12" s="36">
        <v>30</v>
      </c>
      <c r="H12" s="36">
        <v>4131.8999999999996</v>
      </c>
      <c r="I12" s="36">
        <v>0.61111199999999999</v>
      </c>
      <c r="J12" s="39" t="s">
        <v>115</v>
      </c>
    </row>
    <row r="13" spans="1:10">
      <c r="A13" s="7" t="s">
        <v>2</v>
      </c>
      <c r="B13" s="8">
        <v>9</v>
      </c>
      <c r="C13" s="8">
        <v>50688388</v>
      </c>
      <c r="D13" s="8" t="s">
        <v>63</v>
      </c>
      <c r="E13" s="8" t="s">
        <v>114</v>
      </c>
      <c r="F13" s="8" t="s">
        <v>64</v>
      </c>
      <c r="G13" s="36">
        <v>29</v>
      </c>
      <c r="H13" s="36">
        <v>4140.6000000000004</v>
      </c>
      <c r="I13" s="36">
        <v>0.59504299999999999</v>
      </c>
      <c r="J13" s="39" t="s">
        <v>115</v>
      </c>
    </row>
    <row r="14" spans="1:10">
      <c r="A14" s="7" t="s">
        <v>2</v>
      </c>
      <c r="B14" s="8">
        <v>10</v>
      </c>
      <c r="C14" s="8">
        <v>50688389</v>
      </c>
      <c r="D14" s="8" t="s">
        <v>63</v>
      </c>
      <c r="E14" s="8" t="s">
        <v>114</v>
      </c>
      <c r="F14" s="8" t="s">
        <v>64</v>
      </c>
      <c r="G14" s="36">
        <v>29</v>
      </c>
      <c r="H14" s="36">
        <v>4149</v>
      </c>
      <c r="I14" s="36">
        <v>0.69777100000000003</v>
      </c>
      <c r="J14" s="39" t="s">
        <v>115</v>
      </c>
    </row>
    <row r="15" spans="1:10">
      <c r="A15" s="7" t="s">
        <v>65</v>
      </c>
      <c r="B15" s="8">
        <v>1</v>
      </c>
      <c r="C15" s="8">
        <v>50688058</v>
      </c>
      <c r="D15" s="8" t="s">
        <v>60</v>
      </c>
      <c r="E15" s="8" t="s">
        <v>114</v>
      </c>
      <c r="F15" s="8" t="s">
        <v>62</v>
      </c>
      <c r="G15" s="36">
        <v>64</v>
      </c>
      <c r="H15" s="36">
        <v>4122.3999999999996</v>
      </c>
      <c r="I15" s="36">
        <v>1.5041119999999999</v>
      </c>
      <c r="J15" s="39" t="s">
        <v>115</v>
      </c>
    </row>
    <row r="16" spans="1:10">
      <c r="A16" s="7" t="s">
        <v>65</v>
      </c>
      <c r="B16" s="8">
        <v>2</v>
      </c>
      <c r="C16" s="8">
        <v>50688390</v>
      </c>
      <c r="D16" s="8" t="s">
        <v>63</v>
      </c>
      <c r="E16" s="8" t="s">
        <v>114</v>
      </c>
      <c r="F16" s="8" t="s">
        <v>64</v>
      </c>
      <c r="G16" s="36">
        <v>64</v>
      </c>
      <c r="H16" s="36">
        <v>4143.2</v>
      </c>
      <c r="I16" s="36">
        <v>1.976343</v>
      </c>
      <c r="J16" s="39" t="s">
        <v>115</v>
      </c>
    </row>
    <row r="17" spans="1:10">
      <c r="A17" s="7" t="s">
        <v>65</v>
      </c>
      <c r="B17" s="8">
        <v>3</v>
      </c>
      <c r="C17" s="8">
        <v>50688391</v>
      </c>
      <c r="D17" s="8" t="s">
        <v>63</v>
      </c>
      <c r="E17" s="8" t="s">
        <v>114</v>
      </c>
      <c r="F17" s="8" t="s">
        <v>64</v>
      </c>
      <c r="G17" s="36">
        <v>64</v>
      </c>
      <c r="H17" s="36">
        <v>4123.6000000000004</v>
      </c>
      <c r="I17" s="36">
        <v>1.6381699999999999</v>
      </c>
      <c r="J17" s="39" t="s">
        <v>115</v>
      </c>
    </row>
    <row r="18" spans="1:10">
      <c r="A18" s="7" t="s">
        <v>65</v>
      </c>
      <c r="B18" s="8">
        <v>4</v>
      </c>
      <c r="C18" s="8">
        <v>50688392</v>
      </c>
      <c r="D18" s="8" t="s">
        <v>63</v>
      </c>
      <c r="E18" s="8" t="s">
        <v>114</v>
      </c>
      <c r="F18" s="8" t="s">
        <v>64</v>
      </c>
      <c r="G18" s="36">
        <v>64</v>
      </c>
      <c r="H18" s="36">
        <v>4128.3</v>
      </c>
      <c r="I18" s="36">
        <v>1.9502649999999999</v>
      </c>
      <c r="J18" s="39" t="s">
        <v>115</v>
      </c>
    </row>
    <row r="19" spans="1:10">
      <c r="A19" s="7" t="s">
        <v>65</v>
      </c>
      <c r="B19" s="8">
        <v>5</v>
      </c>
      <c r="C19" s="8">
        <v>50688393</v>
      </c>
      <c r="D19" s="8" t="s">
        <v>63</v>
      </c>
      <c r="E19" s="8" t="s">
        <v>114</v>
      </c>
      <c r="F19" s="8" t="s">
        <v>64</v>
      </c>
      <c r="G19" s="36">
        <v>64</v>
      </c>
      <c r="H19" s="36">
        <v>4132.8</v>
      </c>
      <c r="I19" s="36">
        <v>1.6264670000000001</v>
      </c>
      <c r="J19" s="39" t="s">
        <v>115</v>
      </c>
    </row>
    <row r="20" spans="1:10">
      <c r="A20" s="7" t="s">
        <v>65</v>
      </c>
      <c r="B20" s="8">
        <v>6</v>
      </c>
      <c r="C20" s="8">
        <v>50688394</v>
      </c>
      <c r="D20" s="8" t="s">
        <v>63</v>
      </c>
      <c r="E20" s="8" t="s">
        <v>114</v>
      </c>
      <c r="F20" s="8" t="s">
        <v>64</v>
      </c>
      <c r="G20" s="36">
        <v>64</v>
      </c>
      <c r="H20" s="36">
        <v>4136.8999999999996</v>
      </c>
      <c r="I20" s="36">
        <v>1.9733560000000001</v>
      </c>
      <c r="J20" s="39" t="s">
        <v>115</v>
      </c>
    </row>
    <row r="21" spans="1:10">
      <c r="A21" s="7" t="s">
        <v>65</v>
      </c>
      <c r="B21" s="8">
        <v>7</v>
      </c>
      <c r="C21" s="8">
        <v>50688395</v>
      </c>
      <c r="D21" s="8" t="s">
        <v>63</v>
      </c>
      <c r="E21" s="8" t="s">
        <v>114</v>
      </c>
      <c r="F21" s="8" t="s">
        <v>66</v>
      </c>
      <c r="G21" s="36">
        <v>64</v>
      </c>
      <c r="H21" s="36">
        <v>4143.2</v>
      </c>
      <c r="I21" s="36">
        <v>1.6672309999999999</v>
      </c>
      <c r="J21" s="39" t="s">
        <v>115</v>
      </c>
    </row>
    <row r="22" spans="1:10">
      <c r="A22" s="7" t="s">
        <v>65</v>
      </c>
      <c r="B22" s="8">
        <v>8</v>
      </c>
      <c r="C22" s="8">
        <v>50688396</v>
      </c>
      <c r="D22" s="8" t="s">
        <v>63</v>
      </c>
      <c r="E22" s="8" t="s">
        <v>114</v>
      </c>
      <c r="F22" s="8" t="s">
        <v>66</v>
      </c>
      <c r="G22" s="36">
        <v>65</v>
      </c>
      <c r="H22" s="36">
        <v>4149.7</v>
      </c>
      <c r="I22" s="36">
        <v>1.435327</v>
      </c>
      <c r="J22" s="39" t="s">
        <v>115</v>
      </c>
    </row>
    <row r="23" spans="1:10">
      <c r="A23" s="7" t="s">
        <v>65</v>
      </c>
      <c r="B23" s="8">
        <v>9</v>
      </c>
      <c r="C23" s="8">
        <v>50688398</v>
      </c>
      <c r="D23" s="8" t="s">
        <v>63</v>
      </c>
      <c r="E23" s="8" t="s">
        <v>114</v>
      </c>
      <c r="F23" s="8" t="s">
        <v>66</v>
      </c>
      <c r="G23" s="36">
        <v>64</v>
      </c>
      <c r="H23" s="36">
        <v>4145</v>
      </c>
      <c r="I23" s="36">
        <v>1.4761299999999999</v>
      </c>
      <c r="J23" s="39" t="s">
        <v>115</v>
      </c>
    </row>
    <row r="24" spans="1:10">
      <c r="A24" s="10" t="s">
        <v>65</v>
      </c>
      <c r="B24" s="11">
        <v>10</v>
      </c>
      <c r="C24" s="11">
        <v>50688399</v>
      </c>
      <c r="D24" s="11" t="s">
        <v>63</v>
      </c>
      <c r="E24" s="11" t="s">
        <v>114</v>
      </c>
      <c r="F24" s="11" t="s">
        <v>66</v>
      </c>
      <c r="G24" s="37">
        <v>65</v>
      </c>
      <c r="H24" s="37">
        <v>4137</v>
      </c>
      <c r="I24" s="37">
        <v>1.4453320000000001</v>
      </c>
      <c r="J24" s="40" t="s">
        <v>115</v>
      </c>
    </row>
  </sheetData>
  <mergeCells count="1">
    <mergeCell ref="A1:J2"/>
  </mergeCells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BBA6-9DAB-4917-A12F-E241231C418F}">
  <dimension ref="A1"/>
  <sheetViews>
    <sheetView workbookViewId="0"/>
  </sheetViews>
  <sheetFormatPr defaultRowHeight="14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01_概要</vt:lpstr>
      <vt:lpstr>02_実験条件</vt:lpstr>
      <vt:lpstr>03_実行時間_10回</vt:lpstr>
      <vt:lpstr>04_統計比較</vt:lpstr>
      <vt:lpstr>05_DdagDレイヤー</vt:lpstr>
      <vt:lpstr>06_数値妥当性</vt:lpstr>
      <vt:lpstr>07_ジョブ資源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intern1</cp:lastModifiedBy>
  <dcterms:modified xsi:type="dcterms:W3CDTF">2026-08-24T00:54:57Z</dcterms:modified>
</cp:coreProperties>
</file>